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2025-" sheetId="1" r:id="rId1"/>
  </sheets>
  <definedNames>
    <definedName name="_xlnm._FilterDatabase" localSheetId="0" hidden="1">'2025-'!$A$2:$H$192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<sst xmlns="http://schemas.openxmlformats.org/spreadsheetml/2006/main" count="404" uniqueCount="232">
  <si>
    <r>
      <rPr>
        <b/>
        <sz val="12"/>
        <color rgb="FF000000"/>
        <rFont val="Arial"/>
        <charset val="134"/>
      </rPr>
      <t>உ</t>
    </r>
    <r>
      <rPr>
        <b/>
        <sz val="20"/>
        <color rgb="FF000000"/>
        <rFont val="Arial"/>
        <charset val="134"/>
      </rPr>
      <t xml:space="preserve">
MARIAMMAL CRACKERS</t>
    </r>
    <r>
      <rPr>
        <sz val="11"/>
        <color theme="1"/>
        <rFont val="Calibri"/>
        <charset val="134"/>
        <scheme val="minor"/>
      </rPr>
      <t xml:space="preserve">
 D. No. 3/270/C5, Sivakasi to Sattur Road, Near Anjap College, Konampatti - 626 189.
 Phone: +91  96777 27748        -    S.Subegan.
80% Discount - (Upto Sep 15th, 2025)</t>
    </r>
  </si>
  <si>
    <t>S.No</t>
  </si>
  <si>
    <t>Product Name</t>
  </si>
  <si>
    <t>Unit</t>
  </si>
  <si>
    <t>Net Rate 
( ₹ )</t>
  </si>
  <si>
    <t>80% Discount 
Rate  ( ₹ )</t>
  </si>
  <si>
    <t>Requirement
Qty</t>
  </si>
  <si>
    <t>80% Discount
Amount</t>
  </si>
  <si>
    <t>SINGLE SOUND CRACKERS</t>
  </si>
  <si>
    <t xml:space="preserve">3½’’ LAKSHMI </t>
  </si>
  <si>
    <t>1 Pkt</t>
  </si>
  <si>
    <t xml:space="preserve">4’’ LAKSHMI </t>
  </si>
  <si>
    <t xml:space="preserve">4’’ DELUXE LAKSHMI </t>
  </si>
  <si>
    <t>5’’ DELUXE LAKSHMI</t>
  </si>
  <si>
    <t xml:space="preserve">GOLD LAKSHMI (12Ply) </t>
  </si>
  <si>
    <t xml:space="preserve">2¾’’ KURUVI </t>
  </si>
  <si>
    <t>FLOWERPOTS</t>
  </si>
  <si>
    <t>FLOWER POTS SMALL</t>
  </si>
  <si>
    <t>1 Box</t>
  </si>
  <si>
    <t>FLOWER POTS BIG</t>
  </si>
  <si>
    <t>FLOWER POTS SPECIAL</t>
  </si>
  <si>
    <t>FLOWER POTS  ASOKHA</t>
  </si>
  <si>
    <t>FLOWER POTS DELUXE (2PCS)</t>
  </si>
  <si>
    <t>FLOWER POTS DELUXE (5PCS)</t>
  </si>
  <si>
    <t>FLOWER POTS DELUXE (10PCS)</t>
  </si>
  <si>
    <t>COLOUR KOTI (10Pcs)</t>
  </si>
  <si>
    <t>MAMA BISKOTHU  -VADIVEL BRAND (10PCS)</t>
  </si>
  <si>
    <t>TRICOLOUR FOUNTAIN (5Pcs)</t>
  </si>
  <si>
    <t>GROUND CHAKKAR</t>
  </si>
  <si>
    <t>GROUND CHAKKAR BIG (10Pcs)</t>
  </si>
  <si>
    <t>GROUND CHAKKAR BIG (25Pcs)</t>
  </si>
  <si>
    <t>GROUND CHAKKAR SPECIAL</t>
  </si>
  <si>
    <t>GROUND CHAKKAR DELUXE</t>
  </si>
  <si>
    <t>WHIZLING WHEEL (5Pcs)-VADIVEL BRAND</t>
  </si>
  <si>
    <t>GROUND CHAKKAR PLASTIC SPINNER</t>
  </si>
  <si>
    <t>WIRE CHAKKAR</t>
  </si>
  <si>
    <t xml:space="preserve">4* 4 WHEEL </t>
  </si>
  <si>
    <t>TWINKLING STAR</t>
  </si>
  <si>
    <t>1½’’ TWINKLING STAR</t>
  </si>
  <si>
    <t>4’’ TWINKLING STAR</t>
  </si>
  <si>
    <t>BOMBS</t>
  </si>
  <si>
    <t>ATOM BOMB</t>
  </si>
  <si>
    <t>HYDRO BOMB</t>
  </si>
  <si>
    <t>KING OF KING BOMB</t>
  </si>
  <si>
    <t>CLASSIC BOMB</t>
  </si>
  <si>
    <t>DINOSAUR BOMB</t>
  </si>
  <si>
    <t>DIGITAL  BOMB</t>
  </si>
  <si>
    <t>PAPER BOMBS</t>
  </si>
  <si>
    <t>ADIYAL SMALL</t>
  </si>
  <si>
    <t>1 Piece</t>
  </si>
  <si>
    <t>ADIYAL 1/2 kg</t>
  </si>
  <si>
    <t>ADIYAL 1 kg</t>
  </si>
  <si>
    <t xml:space="preserve"> BEST RIDER -(5Pcs)</t>
  </si>
  <si>
    <t>CROREPATHI CURRENCY BOMB  (2PCS)</t>
  </si>
  <si>
    <t>MONEY BANK (3PCS)</t>
  </si>
  <si>
    <t>SOUND WAR</t>
  </si>
  <si>
    <t>SHINCHAN -CHORSA  (5Pcs)</t>
  </si>
  <si>
    <t>1 BOX</t>
  </si>
  <si>
    <t>KUNGFU- MINI DIGITAL WALA</t>
  </si>
  <si>
    <t xml:space="preserve">MAGIC WHIP -DIGITAL WALA </t>
  </si>
  <si>
    <t>ROCKETS</t>
  </si>
  <si>
    <t>BABY ROCKET</t>
  </si>
  <si>
    <t>ROCKET BOMB</t>
  </si>
  <si>
    <t>LUNIK ROCKET</t>
  </si>
  <si>
    <t xml:space="preserve">2 SOUND ROCKET </t>
  </si>
  <si>
    <t>MUSICAL ROCKET-STARVEL</t>
  </si>
  <si>
    <t>LOOSE CRACKERS</t>
  </si>
  <si>
    <t>RED BIJILI (100Pcs)</t>
  </si>
  <si>
    <t>STRIPPED BIJILI (100Pcs)</t>
  </si>
  <si>
    <t>FOUNTAINS
PEACOCK VARIETIE</t>
  </si>
  <si>
    <t>PEACOCK FEATHER (5Pcs)</t>
  </si>
  <si>
    <t>MAGIC PEACOCK</t>
  </si>
  <si>
    <t>BADA PEACOCK ( MOTHER'S Brand )</t>
  </si>
  <si>
    <t>VANITHA BRAND -SPECIAL</t>
  </si>
  <si>
    <t>POM POM (WATER PROOF ) (30Pcs)</t>
  </si>
  <si>
    <t>COLOR SPINNER MIX</t>
  </si>
  <si>
    <t>SUPER STICK (6Pcs)</t>
  </si>
  <si>
    <t>MOTHER"S BRAND FOUTAIN</t>
  </si>
  <si>
    <t>SUN LIGHT (5PCS)</t>
  </si>
  <si>
    <t>STAR LIGHT (5PCS)</t>
  </si>
  <si>
    <t>MOON LIGHT (5PCS)</t>
  </si>
  <si>
    <t>COLOUR FOUNTAIN (1 PC )</t>
  </si>
  <si>
    <t>TWENTY 20/MANSA MUSA</t>
  </si>
  <si>
    <t>1  Piece</t>
  </si>
  <si>
    <t>TWEET</t>
  </si>
  <si>
    <t>POPPINGS</t>
  </si>
  <si>
    <t>COLOUR FOUTAIN (2 PCS)</t>
  </si>
  <si>
    <t>POPCORN</t>
  </si>
  <si>
    <t>2 Piece</t>
  </si>
  <si>
    <t>LOLLIPOP</t>
  </si>
  <si>
    <t>MOJITO</t>
  </si>
  <si>
    <t>FEATHER TOUCH</t>
  </si>
  <si>
    <t>ULTRA VOLTAGE</t>
  </si>
  <si>
    <t>COCK FIGHT</t>
  </si>
  <si>
    <t>DOUBLE STEP FOUTAIN
( 2 IN 1 )</t>
  </si>
  <si>
    <t>KARAOKE NIGHT</t>
  </si>
  <si>
    <t>JAZZ MUSIC</t>
  </si>
  <si>
    <t xml:space="preserve">BIG BANG </t>
  </si>
  <si>
    <t>DR.PEPPER</t>
  </si>
  <si>
    <t>LEMON TREE-AYYAN BRAND</t>
  </si>
  <si>
    <t>GRAND SUPER FOUTAIN</t>
  </si>
  <si>
    <t>POGO ( 1 PCS)</t>
  </si>
  <si>
    <t>POGO ( 5 PCS)</t>
  </si>
  <si>
    <t>ANGRY BIRDS ( 1 PCS)</t>
  </si>
  <si>
    <t>ANGRY BIRDS ( 5 PCS)</t>
  </si>
  <si>
    <t xml:space="preserve">POWER POT (5 IN 1) COLOUR </t>
  </si>
  <si>
    <t>DISCO SHOWER (5PCS)</t>
  </si>
  <si>
    <t>GOLDEN RAIN (5Pcs)</t>
  </si>
  <si>
    <t>FANTY SHENNY CRACKLING ( 3PCS)</t>
  </si>
  <si>
    <t>WATERQUEEN-  STARVELL</t>
  </si>
  <si>
    <t xml:space="preserve">CINDERELLA -POPCORN FOUTAIN </t>
  </si>
  <si>
    <t>SIREN (5PCS)</t>
  </si>
  <si>
    <t>MEGA SIREN (3PCS)</t>
  </si>
  <si>
    <t>NOVELTIES CRACKERS</t>
  </si>
  <si>
    <t>ZEE BOOM BAA/MAGIC POPS</t>
  </si>
  <si>
    <t>COLOUR ELECTRIC STONE</t>
  </si>
  <si>
    <t>HELICOPTER</t>
  </si>
  <si>
    <t xml:space="preserve">BUTTERFLY </t>
  </si>
  <si>
    <t>DISCO WHEEL</t>
  </si>
  <si>
    <t>PHOTO FLASH</t>
  </si>
  <si>
    <t>TIN BEER</t>
  </si>
  <si>
    <t>KIDS VARIETIES</t>
  </si>
  <si>
    <t>SELFIE STICK( 3PCS)</t>
  </si>
  <si>
    <t>RAINBOW SMOKE</t>
  </si>
  <si>
    <t>LOLLIPOP ( 5PCS )</t>
  </si>
  <si>
    <t>ULTRA PENCIL (3PCS)</t>
  </si>
  <si>
    <t>POPCORN PENCIL (5PCS)</t>
  </si>
  <si>
    <t xml:space="preserve">MASTER BLASTER BAT </t>
  </si>
  <si>
    <t>MIGHTY SWORD  (2PCS)</t>
  </si>
  <si>
    <t>THOR HAMMER   (2PCS)</t>
  </si>
  <si>
    <t>EMU EGG</t>
  </si>
  <si>
    <t>CSK BUS FOUNTAIN-3 IN 1</t>
  </si>
  <si>
    <t>PISTOL 5G  (2PCS)</t>
  </si>
  <si>
    <t>TOPGUN (5PCS)-</t>
  </si>
  <si>
    <t>SONY GUN</t>
  </si>
  <si>
    <t>ROLLCAP GUN</t>
  </si>
  <si>
    <t xml:space="preserve">ROLLCAP </t>
  </si>
  <si>
    <t>SPARKLERS</t>
  </si>
  <si>
    <t>7CM ELECTRIC SPARKLERS</t>
  </si>
  <si>
    <t>7CM COLOUR SPARKLERS</t>
  </si>
  <si>
    <t>7CM GREEN SPARKLERS</t>
  </si>
  <si>
    <t>7CM REDSPARKLERS</t>
  </si>
  <si>
    <t>10CM ELECTRIC SPARKLERS</t>
  </si>
  <si>
    <t>10CM COLOUR SPARKLERS</t>
  </si>
  <si>
    <t>10CM GREEN SPARKLERS</t>
  </si>
  <si>
    <t>10CM RED SPARKLERS</t>
  </si>
  <si>
    <t>12CM ELECTRIC SPARKLERS</t>
  </si>
  <si>
    <t>12CM COLOUR SPARKLERS</t>
  </si>
  <si>
    <t>12CM GREEN SPARKLERS</t>
  </si>
  <si>
    <t>12CM RED SPARKLERS</t>
  </si>
  <si>
    <t>15CM ELECTRIC SPARKLERS</t>
  </si>
  <si>
    <t>15CM COLOUR SPARKLERS</t>
  </si>
  <si>
    <t>15CM GREEN SPARKLERS</t>
  </si>
  <si>
    <t>15CM RED SPARKLERS</t>
  </si>
  <si>
    <t>15CM NANOTECH SPARKLERS</t>
  </si>
  <si>
    <t>30CM ELECTRIC SPARKLERS</t>
  </si>
  <si>
    <t>30CM COLOUR SPARKLERS</t>
  </si>
  <si>
    <t>30CM GREEN SPARKLERS</t>
  </si>
  <si>
    <t>30CM RED SPARKLERS</t>
  </si>
  <si>
    <t>30CM NANOTECH SPARKLERS</t>
  </si>
  <si>
    <t>50CM ELECTRIC TUBE</t>
  </si>
  <si>
    <t>1Box</t>
  </si>
  <si>
    <t>50CM COLOUR TUBE</t>
  </si>
  <si>
    <t>UMBRELLA SPARKLERS</t>
  </si>
  <si>
    <t>MINI FANCY</t>
  </si>
  <si>
    <t>7SHOT COLOUR WITH CRACKLING (5Pcs)</t>
  </si>
  <si>
    <t>PENTA MAGIC MULTI COLOUR (5Pcs)</t>
  </si>
  <si>
    <t>1 ¼’’CHOTTA FANCY</t>
  </si>
  <si>
    <t>2" FANCY</t>
  </si>
  <si>
    <t>2" FANCY ( 3PCS)</t>
  </si>
  <si>
    <t>AERIAL FANCY SHOT</t>
  </si>
  <si>
    <t>2 ½'' FANCY DANCING SHOOTER (MOTHER'S)</t>
  </si>
  <si>
    <t>2 ½'' FANCY MULTI COLOUR -3STEP  (MOTHER'S)</t>
  </si>
  <si>
    <t>2 ½'' FANCY DOUBLE BALL (2 PCS)  (MOTHER'S)</t>
  </si>
  <si>
    <t>2 ½'' FANCY TRIBLE BALL (2 PCS)  (MOTHER'S)</t>
  </si>
  <si>
    <t xml:space="preserve">3'' FANCY MULTI COLOUR </t>
  </si>
  <si>
    <t xml:space="preserve">3 ½'' FANCY MULTI COLOUR </t>
  </si>
  <si>
    <t>3 ½'' FANCY MULTI COLOUR (3 PCS) (VADIVEL)</t>
  </si>
  <si>
    <t xml:space="preserve">4 ’’ FANCY MULTI COLOUR  </t>
  </si>
  <si>
    <t>4’’ FANCY DIGITAL STAR</t>
  </si>
  <si>
    <t>4’’ FANCY NAYAGARA FALLS</t>
  </si>
  <si>
    <t>4’’ FANCY LAVENDER</t>
  </si>
  <si>
    <t>4’’ FANCY PINK COLOR</t>
  </si>
  <si>
    <t>4.5’’ FANCY MULTI COLOUR  (MOTHER'S)</t>
  </si>
  <si>
    <t>4.5’’ FANCY DOUBLE BALL  (MOTHER'S)</t>
  </si>
  <si>
    <t>4.5’’ FANCY MULTI COLOUR - 7STEP  (MOTHER'S)</t>
  </si>
  <si>
    <t xml:space="preserve">5 ’’ FANCY MULTI COLOUR  </t>
  </si>
  <si>
    <t>MULTIPLE AERIAL SHOTS
(SOUND &amp; COLOURFUL)</t>
  </si>
  <si>
    <t>LOVE DOSE-6 SHOT PEACOCK DANCE</t>
  </si>
  <si>
    <t>10 SHOT RANG CHAKKAR ( VADIVEL BRAND)</t>
  </si>
  <si>
    <t>12 SHOT RIDER</t>
  </si>
  <si>
    <t xml:space="preserve">12 SHOT MUTICOLOR  SHOT </t>
  </si>
  <si>
    <t xml:space="preserve">15 SHOT MUTICOLOR  SHOT </t>
  </si>
  <si>
    <t>25 SHOT RIDER</t>
  </si>
  <si>
    <t>30  SHOT MULTI COLOUR SHOT</t>
  </si>
  <si>
    <t>60 SHOT MULTI COLOUR SHOT</t>
  </si>
  <si>
    <t>120 SHOT MULTI COLOUR SHOT</t>
  </si>
  <si>
    <t>240 SHOT MULTI COLOUR SHOT</t>
  </si>
  <si>
    <t>PUBG 5*4 MINI IPL SHOT</t>
  </si>
  <si>
    <t xml:space="preserve">10 * 10 IPL SHOT </t>
  </si>
  <si>
    <t>COLOUR MATCHES</t>
  </si>
  <si>
    <t>SNAKE SERPENT BIG</t>
  </si>
  <si>
    <t>1 Dozen</t>
  </si>
  <si>
    <t>COLOUR MATCHES 3 in 1</t>
  </si>
  <si>
    <t>1 Unit</t>
  </si>
  <si>
    <t>COLOUR MATCHES 5 in 1</t>
  </si>
  <si>
    <t>COLOUR MATCHES 10 in 1</t>
  </si>
  <si>
    <t>GIFT BOXES</t>
  </si>
  <si>
    <t>21 ITEMS</t>
  </si>
  <si>
    <t>25 ITEMS</t>
  </si>
  <si>
    <t>30 ITEMS</t>
  </si>
  <si>
    <t>35 ITEMS</t>
  </si>
  <si>
    <t>40 ITEMS</t>
  </si>
  <si>
    <t>45 ITEMS</t>
  </si>
  <si>
    <t>50 ITEMS</t>
  </si>
  <si>
    <t>50 ITEMS (VIP BOX)</t>
  </si>
  <si>
    <t>100 wala</t>
  </si>
  <si>
    <t>Half Count</t>
  </si>
  <si>
    <t>200 wala</t>
  </si>
  <si>
    <t>Wala</t>
  </si>
  <si>
    <t>1000 wala</t>
  </si>
  <si>
    <t>2000 wala</t>
  </si>
  <si>
    <t>5000 wala</t>
  </si>
  <si>
    <t>10000 wala</t>
  </si>
  <si>
    <t>Total 
Items</t>
  </si>
  <si>
    <t>80% Discount Final Amount</t>
  </si>
  <si>
    <r>
      <rPr>
        <b/>
        <i/>
        <u/>
        <sz val="16"/>
        <color rgb="FFAB4A16"/>
        <rFont val="Arial"/>
        <charset val="134"/>
      </rPr>
      <t>TERMS AND CONDITIONS</t>
    </r>
    <r>
      <rPr>
        <b/>
        <sz val="16"/>
        <color rgb="FFAB4A16"/>
        <rFont val="Arial"/>
        <charset val="134"/>
      </rPr>
      <t xml:space="preserve">
</t>
    </r>
    <r>
      <rPr>
        <b/>
        <sz val="12"/>
        <color rgb="FF04608B"/>
        <rFont val="Arial"/>
        <charset val="134"/>
      </rPr>
      <t>Transportation charges extra
Shipping of goods solely depends on the transporter Delivery time (Tamil Nadu - 4 days, Others - 15 days)
This price list valid up to September 15th 2025
Due to the nature of the fireworks industry, the products are subject to modification.</t>
    </r>
  </si>
  <si>
    <t>NAME :</t>
  </si>
  <si>
    <t>DELIVERY POINT :</t>
  </si>
  <si>
    <t>MOBILE NUMBER :</t>
  </si>
  <si>
    <t>ALTERNATIVE MOBILE NUMBER :</t>
  </si>
  <si>
    <t>ADDRESS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</si>
</sst>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3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mbria"/>
      <charset val="134"/>
    </font>
    <font>
      <sz val="11"/>
      <color rgb="FF000000"/>
      <name val="Cambria"/>
      <charset val="134"/>
    </font>
    <font>
      <b/>
      <i/>
      <sz val="12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b/>
      <i/>
      <sz val="12"/>
      <name val="Arial"/>
      <charset val="134"/>
    </font>
    <font>
      <b/>
      <sz val="16"/>
      <color rgb="FFAB4A16"/>
      <name val="Arial"/>
      <charset val="134"/>
    </font>
    <font>
      <b/>
      <sz val="10"/>
      <name val="Cambria"/>
      <charset val="134"/>
      <scheme val="major"/>
    </font>
    <font>
      <b/>
      <sz val="14"/>
      <name val="Carlito"/>
      <charset val="134"/>
    </font>
    <font>
      <b/>
      <sz val="1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204"/>
    </font>
    <font>
      <b/>
      <i/>
      <u/>
      <sz val="16"/>
      <color rgb="FFAB4A16"/>
      <name val="Arial"/>
      <charset val="134"/>
    </font>
    <font>
      <b/>
      <sz val="12"/>
      <color rgb="FF04608B"/>
      <name val="Arial"/>
      <charset val="134"/>
    </font>
    <font>
      <b/>
      <sz val="12"/>
      <color rgb="FF000000"/>
      <name val="Arial"/>
      <charset val="134"/>
    </font>
    <font>
      <b/>
      <sz val="20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8EAADB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3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41" applyNumberFormat="0" applyAlignment="0" applyProtection="0">
      <alignment vertical="center"/>
    </xf>
    <xf numFmtId="0" fontId="24" fillId="10" borderId="42" applyNumberFormat="0" applyAlignment="0" applyProtection="0">
      <alignment vertical="center"/>
    </xf>
    <xf numFmtId="0" fontId="25" fillId="10" borderId="41" applyNumberFormat="0" applyAlignment="0" applyProtection="0">
      <alignment vertical="center"/>
    </xf>
    <xf numFmtId="0" fontId="26" fillId="11" borderId="43" applyNumberFormat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/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horizontal="left" vertical="top"/>
    </xf>
    <xf numFmtId="0" fontId="1" fillId="0" borderId="0" xfId="0" applyFont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0" xfId="0" applyFont="1" applyFill="1" applyBorder="1"/>
    <xf numFmtId="0" fontId="2" fillId="3" borderId="2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top" wrapText="1"/>
    </xf>
    <xf numFmtId="1" fontId="6" fillId="5" borderId="4" xfId="0" applyNumberFormat="1" applyFont="1" applyFill="1" applyBorder="1" applyAlignment="1">
      <alignment horizontal="center" vertical="top" shrinkToFit="1"/>
    </xf>
    <xf numFmtId="1" fontId="6" fillId="5" borderId="5" xfId="0" applyNumberFormat="1" applyFont="1" applyFill="1" applyBorder="1" applyAlignment="1">
      <alignment horizontal="center" vertical="top" shrinkToFit="1"/>
    </xf>
    <xf numFmtId="1" fontId="1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horizontal="center" vertical="top" wrapText="1"/>
    </xf>
    <xf numFmtId="1" fontId="6" fillId="5" borderId="8" xfId="0" applyNumberFormat="1" applyFont="1" applyFill="1" applyBorder="1" applyAlignment="1">
      <alignment horizontal="center" vertical="top" shrinkToFit="1"/>
    </xf>
    <xf numFmtId="1" fontId="6" fillId="5" borderId="9" xfId="0" applyNumberFormat="1" applyFont="1" applyFill="1" applyBorder="1" applyAlignment="1">
      <alignment horizontal="center" vertical="top" shrinkToFit="1"/>
    </xf>
    <xf numFmtId="1" fontId="1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left" vertical="top" wrapText="1"/>
    </xf>
    <xf numFmtId="0" fontId="5" fillId="4" borderId="12" xfId="0" applyFont="1" applyFill="1" applyBorder="1" applyAlignment="1">
      <alignment horizontal="center" vertical="top" wrapText="1"/>
    </xf>
    <xf numFmtId="1" fontId="6" fillId="5" borderId="12" xfId="0" applyNumberFormat="1" applyFont="1" applyFill="1" applyBorder="1" applyAlignment="1">
      <alignment horizontal="center" vertical="top" shrinkToFit="1"/>
    </xf>
    <xf numFmtId="1" fontId="6" fillId="5" borderId="13" xfId="0" applyNumberFormat="1" applyFont="1" applyFill="1" applyBorder="1" applyAlignment="1">
      <alignment horizontal="center" vertical="top" shrinkToFit="1"/>
    </xf>
    <xf numFmtId="0" fontId="5" fillId="5" borderId="4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 vertical="center" wrapText="1"/>
    </xf>
    <xf numFmtId="1" fontId="6" fillId="5" borderId="8" xfId="0" applyNumberFormat="1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top" wrapText="1"/>
    </xf>
    <xf numFmtId="0" fontId="4" fillId="0" borderId="17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/>
    </xf>
    <xf numFmtId="0" fontId="5" fillId="0" borderId="18" xfId="0" applyFont="1" applyBorder="1" applyAlignment="1">
      <alignment vertical="top" wrapText="1"/>
    </xf>
    <xf numFmtId="0" fontId="4" fillId="0" borderId="19" xfId="0" applyFont="1" applyBorder="1" applyAlignment="1">
      <alignment horizontal="right" vertical="center" wrapText="1"/>
    </xf>
    <xf numFmtId="0" fontId="7" fillId="0" borderId="20" xfId="0" applyFont="1" applyBorder="1" applyAlignment="1">
      <alignment horizontal="center"/>
    </xf>
    <xf numFmtId="0" fontId="5" fillId="0" borderId="21" xfId="0" applyFont="1" applyBorder="1" applyAlignment="1">
      <alignment vertical="top" wrapText="1"/>
    </xf>
    <xf numFmtId="0" fontId="5" fillId="0" borderId="22" xfId="50" applyFont="1" applyBorder="1" applyAlignment="1">
      <alignment vertical="center" wrapText="1"/>
    </xf>
    <xf numFmtId="0" fontId="5" fillId="0" borderId="4" xfId="50" applyFont="1" applyBorder="1" applyAlignment="1">
      <alignment horizontal="left" vertical="top" wrapText="1"/>
    </xf>
    <xf numFmtId="0" fontId="5" fillId="5" borderId="4" xfId="50" applyFont="1" applyFill="1" applyBorder="1" applyAlignment="1">
      <alignment horizontal="center" vertical="top" wrapText="1"/>
    </xf>
    <xf numFmtId="1" fontId="6" fillId="5" borderId="4" xfId="50" applyNumberFormat="1" applyFont="1" applyFill="1" applyBorder="1" applyAlignment="1">
      <alignment horizontal="center" vertical="top" shrinkToFit="1"/>
    </xf>
    <xf numFmtId="0" fontId="5" fillId="0" borderId="23" xfId="50" applyFont="1" applyBorder="1" applyAlignment="1">
      <alignment vertical="center" wrapText="1"/>
    </xf>
    <xf numFmtId="0" fontId="5" fillId="0" borderId="8" xfId="50" applyFont="1" applyBorder="1" applyAlignment="1">
      <alignment horizontal="left" vertical="top" wrapText="1"/>
    </xf>
    <xf numFmtId="0" fontId="5" fillId="5" borderId="8" xfId="50" applyFont="1" applyFill="1" applyBorder="1" applyAlignment="1">
      <alignment horizontal="center" vertical="top" wrapText="1"/>
    </xf>
    <xf numFmtId="1" fontId="6" fillId="5" borderId="8" xfId="50" applyNumberFormat="1" applyFont="1" applyFill="1" applyBorder="1" applyAlignment="1">
      <alignment horizontal="center" vertical="top" shrinkToFit="1"/>
    </xf>
    <xf numFmtId="0" fontId="5" fillId="0" borderId="12" xfId="50" applyFont="1" applyBorder="1" applyAlignment="1">
      <alignment vertical="center" wrapText="1"/>
    </xf>
    <xf numFmtId="0" fontId="5" fillId="0" borderId="12" xfId="50" applyFont="1" applyBorder="1" applyAlignment="1">
      <alignment horizontal="left" vertical="top" wrapText="1"/>
    </xf>
    <xf numFmtId="0" fontId="5" fillId="5" borderId="12" xfId="50" applyFont="1" applyFill="1" applyBorder="1" applyAlignment="1">
      <alignment horizontal="center" vertical="top" wrapText="1"/>
    </xf>
    <xf numFmtId="1" fontId="6" fillId="5" borderId="12" xfId="50" applyNumberFormat="1" applyFont="1" applyFill="1" applyBorder="1" applyAlignment="1">
      <alignment horizontal="center" vertical="top" shrinkToFi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center"/>
    </xf>
    <xf numFmtId="1" fontId="1" fillId="5" borderId="8" xfId="0" applyNumberFormat="1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12" xfId="0" applyNumberFormat="1" applyFont="1" applyFill="1" applyBorder="1" applyAlignment="1">
      <alignment horizontal="center"/>
    </xf>
    <xf numFmtId="0" fontId="5" fillId="6" borderId="15" xfId="50" applyFont="1" applyFill="1" applyBorder="1" applyAlignment="1">
      <alignment horizontal="center" vertical="top" wrapText="1"/>
    </xf>
    <xf numFmtId="0" fontId="8" fillId="0" borderId="15" xfId="50" applyFont="1" applyBorder="1"/>
    <xf numFmtId="0" fontId="5" fillId="5" borderId="15" xfId="5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center"/>
    </xf>
    <xf numFmtId="1" fontId="6" fillId="5" borderId="24" xfId="50" applyNumberFormat="1" applyFont="1" applyFill="1" applyBorder="1" applyAlignment="1">
      <alignment horizontal="center" vertical="center" shrinkToFit="1"/>
    </xf>
    <xf numFmtId="0" fontId="5" fillId="0" borderId="1" xfId="50" applyFont="1" applyBorder="1" applyAlignment="1">
      <alignment horizontal="center" vertical="top" wrapText="1"/>
    </xf>
    <xf numFmtId="0" fontId="5" fillId="0" borderId="1" xfId="50" applyFont="1" applyBorder="1" applyAlignment="1">
      <alignment horizontal="left" vertical="top" wrapText="1"/>
    </xf>
    <xf numFmtId="0" fontId="1" fillId="5" borderId="1" xfId="5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1" fontId="6" fillId="5" borderId="25" xfId="50" applyNumberFormat="1" applyFont="1" applyFill="1" applyBorder="1" applyAlignment="1">
      <alignment horizontal="center" vertical="center" shrinkToFit="1"/>
    </xf>
    <xf numFmtId="0" fontId="5" fillId="6" borderId="1" xfId="50" applyFont="1" applyFill="1" applyBorder="1" applyAlignment="1">
      <alignment horizontal="center" vertical="top" wrapText="1"/>
    </xf>
    <xf numFmtId="0" fontId="5" fillId="5" borderId="1" xfId="50" applyFont="1" applyFill="1" applyBorder="1" applyAlignment="1">
      <alignment horizontal="center" vertical="top" wrapText="1"/>
    </xf>
    <xf numFmtId="0" fontId="5" fillId="0" borderId="20" xfId="50" applyFont="1" applyBorder="1" applyAlignment="1">
      <alignment horizontal="center" vertical="top" wrapText="1"/>
    </xf>
    <xf numFmtId="0" fontId="5" fillId="0" borderId="20" xfId="50" applyFont="1" applyBorder="1" applyAlignment="1">
      <alignment horizontal="left" vertical="top" wrapText="1"/>
    </xf>
    <xf numFmtId="0" fontId="1" fillId="5" borderId="20" xfId="50" applyFont="1" applyFill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/>
    </xf>
    <xf numFmtId="1" fontId="6" fillId="5" borderId="26" xfId="50" applyNumberFormat="1" applyFont="1" applyFill="1" applyBorder="1" applyAlignment="1">
      <alignment horizontal="center" vertical="center" shrinkToFit="1"/>
    </xf>
    <xf numFmtId="0" fontId="9" fillId="0" borderId="14" xfId="0" applyFont="1" applyBorder="1" applyAlignment="1">
      <alignment horizontal="right" vertical="center" wrapText="1"/>
    </xf>
    <xf numFmtId="0" fontId="8" fillId="0" borderId="15" xfId="0" applyFont="1" applyBorder="1"/>
    <xf numFmtId="0" fontId="1" fillId="5" borderId="15" xfId="5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8" fillId="0" borderId="1" xfId="0" applyFont="1" applyBorder="1"/>
    <xf numFmtId="0" fontId="8" fillId="0" borderId="25" xfId="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top" wrapText="1"/>
    </xf>
    <xf numFmtId="0" fontId="8" fillId="0" borderId="27" xfId="0" applyFont="1" applyBorder="1"/>
    <xf numFmtId="0" fontId="1" fillId="5" borderId="27" xfId="5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" fontId="1" fillId="0" borderId="29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1" fontId="1" fillId="7" borderId="30" xfId="0" applyNumberFormat="1" applyFont="1" applyFill="1" applyBorder="1" applyAlignment="1">
      <alignment horizontal="center" vertical="center"/>
    </xf>
    <xf numFmtId="180" fontId="1" fillId="7" borderId="31" xfId="0" applyNumberFormat="1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33" xfId="0" applyFont="1" applyBorder="1" applyAlignment="1">
      <alignment horizontal="left" vertical="top" wrapText="1"/>
    </xf>
    <xf numFmtId="0" fontId="11" fillId="0" borderId="34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top" wrapText="1"/>
    </xf>
    <xf numFmtId="0" fontId="12" fillId="0" borderId="35" xfId="0" applyFont="1" applyFill="1" applyBorder="1" applyAlignment="1">
      <alignment horizontal="center" vertical="top" wrapText="1"/>
    </xf>
    <xf numFmtId="0" fontId="11" fillId="0" borderId="36" xfId="0" applyFont="1" applyBorder="1" applyAlignment="1">
      <alignment horizontal="left" vertical="center" wrapText="1"/>
    </xf>
    <xf numFmtId="0" fontId="13" fillId="0" borderId="20" xfId="0" applyFont="1" applyFill="1" applyBorder="1" applyAlignment="1">
      <alignment horizontal="center" vertical="top" wrapText="1"/>
    </xf>
    <xf numFmtId="0" fontId="13" fillId="0" borderId="37" xfId="0" applyFont="1" applyFill="1" applyBorder="1" applyAlignment="1">
      <alignment horizontal="center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2"/>
  <sheetViews>
    <sheetView tabSelected="1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8" outlineLevelCol="7"/>
  <cols>
    <col min="1" max="1" width="30.1388888888889" style="3" customWidth="1"/>
    <col min="2" max="2" width="5.13888888888889" style="3" customWidth="1"/>
    <col min="3" max="3" width="40.712962962963" style="3" customWidth="1"/>
    <col min="4" max="4" width="15.287037037037" style="3" customWidth="1"/>
    <col min="5" max="5" width="15.712962962963" style="3" customWidth="1"/>
    <col min="6" max="6" width="12.287037037037" style="3" customWidth="1"/>
    <col min="7" max="7" width="17.1388888888889" style="3" customWidth="1"/>
    <col min="8" max="8" width="13.5740740740741" style="3" customWidth="1"/>
    <col min="9" max="16384" width="9.13888888888889" style="3"/>
  </cols>
  <sheetData>
    <row r="1" s="1" customFormat="1" ht="99.75" customHeight="1" spans="1:8">
      <c r="A1" s="4" t="s">
        <v>0</v>
      </c>
      <c r="B1" s="5"/>
      <c r="C1" s="5"/>
      <c r="D1" s="5"/>
      <c r="E1" s="5"/>
      <c r="F1" s="5"/>
      <c r="G1" s="5"/>
      <c r="H1" s="5"/>
    </row>
    <row r="2" ht="42.15" spans="1:8">
      <c r="A2" s="6"/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ht="15.75" customHeight="1" spans="1:8">
      <c r="A3" s="10" t="s">
        <v>8</v>
      </c>
      <c r="B3" s="11">
        <v>1</v>
      </c>
      <c r="C3" s="12" t="s">
        <v>9</v>
      </c>
      <c r="D3" s="13" t="s">
        <v>10</v>
      </c>
      <c r="E3" s="14">
        <v>45</v>
      </c>
      <c r="F3" s="14">
        <v>9</v>
      </c>
      <c r="G3" s="15"/>
      <c r="H3" s="16">
        <f>F3*G3</f>
        <v>0</v>
      </c>
    </row>
    <row r="4" ht="15.75" customHeight="1" spans="1:8">
      <c r="A4" s="17"/>
      <c r="B4" s="18">
        <v>2</v>
      </c>
      <c r="C4" s="19" t="s">
        <v>11</v>
      </c>
      <c r="D4" s="20" t="s">
        <v>10</v>
      </c>
      <c r="E4" s="21">
        <v>70</v>
      </c>
      <c r="F4" s="21">
        <v>14</v>
      </c>
      <c r="G4" s="22"/>
      <c r="H4" s="23">
        <f t="shared" ref="H4:H67" si="0">F4*G4</f>
        <v>0</v>
      </c>
    </row>
    <row r="5" ht="15.75" customHeight="1" spans="1:8">
      <c r="A5" s="17"/>
      <c r="B5" s="18">
        <v>3</v>
      </c>
      <c r="C5" s="19" t="s">
        <v>12</v>
      </c>
      <c r="D5" s="20" t="s">
        <v>10</v>
      </c>
      <c r="E5" s="21">
        <v>120</v>
      </c>
      <c r="F5" s="21">
        <v>24</v>
      </c>
      <c r="G5" s="22"/>
      <c r="H5" s="23">
        <f t="shared" si="0"/>
        <v>0</v>
      </c>
    </row>
    <row r="6" ht="15.75" customHeight="1" spans="1:8">
      <c r="A6" s="17"/>
      <c r="B6" s="18">
        <v>4</v>
      </c>
      <c r="C6" s="19" t="s">
        <v>13</v>
      </c>
      <c r="D6" s="20" t="s">
        <v>10</v>
      </c>
      <c r="E6" s="21">
        <v>175</v>
      </c>
      <c r="F6" s="21">
        <v>35</v>
      </c>
      <c r="G6" s="22"/>
      <c r="H6" s="23">
        <f t="shared" si="0"/>
        <v>0</v>
      </c>
    </row>
    <row r="7" ht="15.75" customHeight="1" spans="1:8">
      <c r="A7" s="17"/>
      <c r="B7" s="18">
        <v>5</v>
      </c>
      <c r="C7" s="19" t="s">
        <v>14</v>
      </c>
      <c r="D7" s="20" t="s">
        <v>10</v>
      </c>
      <c r="E7" s="21">
        <v>145</v>
      </c>
      <c r="F7" s="21">
        <v>29</v>
      </c>
      <c r="G7" s="22"/>
      <c r="H7" s="23">
        <f t="shared" si="0"/>
        <v>0</v>
      </c>
    </row>
    <row r="8" ht="15.75" customHeight="1" spans="1:8">
      <c r="A8" s="24"/>
      <c r="B8" s="25">
        <v>6</v>
      </c>
      <c r="C8" s="26" t="s">
        <v>15</v>
      </c>
      <c r="D8" s="27" t="s">
        <v>10</v>
      </c>
      <c r="E8" s="28">
        <v>35</v>
      </c>
      <c r="F8" s="28">
        <v>7</v>
      </c>
      <c r="G8" s="29"/>
      <c r="H8" s="23">
        <f t="shared" si="0"/>
        <v>0</v>
      </c>
    </row>
    <row r="9" ht="15.75" customHeight="1" spans="1:8">
      <c r="A9" s="10" t="s">
        <v>16</v>
      </c>
      <c r="B9" s="11">
        <v>7</v>
      </c>
      <c r="C9" s="12" t="s">
        <v>17</v>
      </c>
      <c r="D9" s="30" t="s">
        <v>18</v>
      </c>
      <c r="E9" s="14">
        <v>200</v>
      </c>
      <c r="F9" s="14">
        <v>40</v>
      </c>
      <c r="G9" s="15">
        <v>2</v>
      </c>
      <c r="H9" s="23">
        <f t="shared" si="0"/>
        <v>80</v>
      </c>
    </row>
    <row r="10" ht="15.75" customHeight="1" spans="1:8">
      <c r="A10" s="17"/>
      <c r="B10" s="18">
        <v>8</v>
      </c>
      <c r="C10" s="19" t="s">
        <v>19</v>
      </c>
      <c r="D10" s="31" t="s">
        <v>18</v>
      </c>
      <c r="E10" s="21">
        <v>275</v>
      </c>
      <c r="F10" s="21">
        <v>55</v>
      </c>
      <c r="G10" s="22">
        <v>2</v>
      </c>
      <c r="H10" s="23">
        <f t="shared" si="0"/>
        <v>110</v>
      </c>
    </row>
    <row r="11" ht="15.75" customHeight="1" spans="1:8">
      <c r="A11" s="17"/>
      <c r="B11" s="18">
        <v>9</v>
      </c>
      <c r="C11" s="19" t="s">
        <v>20</v>
      </c>
      <c r="D11" s="31" t="s">
        <v>18</v>
      </c>
      <c r="E11" s="21">
        <v>340</v>
      </c>
      <c r="F11" s="21">
        <v>68</v>
      </c>
      <c r="G11" s="22"/>
      <c r="H11" s="23">
        <f t="shared" si="0"/>
        <v>0</v>
      </c>
    </row>
    <row r="12" ht="15.75" customHeight="1" spans="1:8">
      <c r="A12" s="17"/>
      <c r="B12" s="18">
        <v>10</v>
      </c>
      <c r="C12" s="19" t="s">
        <v>21</v>
      </c>
      <c r="D12" s="31" t="s">
        <v>18</v>
      </c>
      <c r="E12" s="21">
        <v>550</v>
      </c>
      <c r="F12" s="21">
        <v>110</v>
      </c>
      <c r="G12" s="22"/>
      <c r="H12" s="23">
        <f t="shared" si="0"/>
        <v>0</v>
      </c>
    </row>
    <row r="13" ht="15.75" customHeight="1" spans="1:8">
      <c r="A13" s="17"/>
      <c r="B13" s="18">
        <v>11</v>
      </c>
      <c r="C13" s="19" t="s">
        <v>22</v>
      </c>
      <c r="D13" s="31" t="s">
        <v>18</v>
      </c>
      <c r="E13" s="21">
        <v>625</v>
      </c>
      <c r="F13" s="21">
        <v>125</v>
      </c>
      <c r="G13" s="22"/>
      <c r="H13" s="23">
        <f t="shared" si="0"/>
        <v>0</v>
      </c>
    </row>
    <row r="14" ht="15.75" customHeight="1" spans="1:8">
      <c r="A14" s="17"/>
      <c r="B14" s="18">
        <v>12</v>
      </c>
      <c r="C14" s="19" t="s">
        <v>23</v>
      </c>
      <c r="D14" s="31" t="s">
        <v>18</v>
      </c>
      <c r="E14" s="21">
        <v>700</v>
      </c>
      <c r="F14" s="21">
        <v>140</v>
      </c>
      <c r="G14" s="22"/>
      <c r="H14" s="23">
        <f t="shared" si="0"/>
        <v>0</v>
      </c>
    </row>
    <row r="15" ht="15.75" customHeight="1" spans="1:8">
      <c r="A15" s="17"/>
      <c r="B15" s="18">
        <v>13</v>
      </c>
      <c r="C15" s="19" t="s">
        <v>24</v>
      </c>
      <c r="D15" s="31" t="s">
        <v>18</v>
      </c>
      <c r="E15" s="21">
        <v>1300</v>
      </c>
      <c r="F15" s="21">
        <v>260</v>
      </c>
      <c r="G15" s="22"/>
      <c r="H15" s="23">
        <f t="shared" si="0"/>
        <v>0</v>
      </c>
    </row>
    <row r="16" ht="15.75" customHeight="1" spans="1:8">
      <c r="A16" s="17"/>
      <c r="B16" s="18">
        <v>14</v>
      </c>
      <c r="C16" s="19" t="s">
        <v>25</v>
      </c>
      <c r="D16" s="31" t="s">
        <v>18</v>
      </c>
      <c r="E16" s="21">
        <v>850</v>
      </c>
      <c r="F16" s="21">
        <v>170</v>
      </c>
      <c r="G16" s="22"/>
      <c r="H16" s="23">
        <f t="shared" si="0"/>
        <v>0</v>
      </c>
    </row>
    <row r="17" ht="15.75" customHeight="1" spans="1:8">
      <c r="A17" s="17"/>
      <c r="B17" s="32">
        <v>15</v>
      </c>
      <c r="C17" s="33" t="s">
        <v>26</v>
      </c>
      <c r="D17" s="34" t="s">
        <v>18</v>
      </c>
      <c r="E17" s="35">
        <v>1500</v>
      </c>
      <c r="F17" s="35">
        <v>300</v>
      </c>
      <c r="G17" s="22"/>
      <c r="H17" s="23">
        <f t="shared" si="0"/>
        <v>0</v>
      </c>
    </row>
    <row r="18" ht="15.75" customHeight="1" spans="1:8">
      <c r="A18" s="24"/>
      <c r="B18" s="25">
        <v>16</v>
      </c>
      <c r="C18" s="26" t="s">
        <v>27</v>
      </c>
      <c r="D18" s="36" t="s">
        <v>18</v>
      </c>
      <c r="E18" s="28">
        <v>1100</v>
      </c>
      <c r="F18" s="28">
        <v>220</v>
      </c>
      <c r="G18" s="29"/>
      <c r="H18" s="23">
        <f t="shared" si="0"/>
        <v>0</v>
      </c>
    </row>
    <row r="19" ht="15.75" customHeight="1" spans="1:8">
      <c r="A19" s="10" t="s">
        <v>28</v>
      </c>
      <c r="B19" s="11">
        <v>17</v>
      </c>
      <c r="C19" s="12" t="s">
        <v>29</v>
      </c>
      <c r="D19" s="30" t="s">
        <v>18</v>
      </c>
      <c r="E19" s="14">
        <v>160</v>
      </c>
      <c r="F19" s="14">
        <v>32</v>
      </c>
      <c r="G19" s="15">
        <v>1</v>
      </c>
      <c r="H19" s="23">
        <f t="shared" si="0"/>
        <v>32</v>
      </c>
    </row>
    <row r="20" ht="15.75" customHeight="1" spans="1:8">
      <c r="A20" s="17"/>
      <c r="B20" s="18">
        <v>18</v>
      </c>
      <c r="C20" s="19" t="s">
        <v>30</v>
      </c>
      <c r="D20" s="31" t="s">
        <v>18</v>
      </c>
      <c r="E20" s="21">
        <v>350</v>
      </c>
      <c r="F20" s="21">
        <v>70</v>
      </c>
      <c r="G20" s="22">
        <v>1</v>
      </c>
      <c r="H20" s="23">
        <f t="shared" si="0"/>
        <v>70</v>
      </c>
    </row>
    <row r="21" ht="15.75" customHeight="1" spans="1:8">
      <c r="A21" s="17"/>
      <c r="B21" s="18">
        <v>19</v>
      </c>
      <c r="C21" s="19" t="s">
        <v>31</v>
      </c>
      <c r="D21" s="31" t="s">
        <v>18</v>
      </c>
      <c r="E21" s="21">
        <v>310</v>
      </c>
      <c r="F21" s="21">
        <v>62</v>
      </c>
      <c r="G21" s="22">
        <v>1</v>
      </c>
      <c r="H21" s="23">
        <f t="shared" si="0"/>
        <v>62</v>
      </c>
    </row>
    <row r="22" ht="15.75" customHeight="1" spans="1:8">
      <c r="A22" s="17"/>
      <c r="B22" s="18">
        <v>20</v>
      </c>
      <c r="C22" s="19" t="s">
        <v>32</v>
      </c>
      <c r="D22" s="31" t="s">
        <v>18</v>
      </c>
      <c r="E22" s="21">
        <v>500</v>
      </c>
      <c r="F22" s="21">
        <v>100</v>
      </c>
      <c r="G22" s="22"/>
      <c r="H22" s="23">
        <f t="shared" si="0"/>
        <v>0</v>
      </c>
    </row>
    <row r="23" ht="15.75" customHeight="1" spans="1:8">
      <c r="A23" s="17"/>
      <c r="B23" s="18">
        <v>21</v>
      </c>
      <c r="C23" s="19" t="s">
        <v>33</v>
      </c>
      <c r="D23" s="31" t="s">
        <v>18</v>
      </c>
      <c r="E23" s="21">
        <v>500</v>
      </c>
      <c r="F23" s="21">
        <v>100</v>
      </c>
      <c r="G23" s="22"/>
      <c r="H23" s="23">
        <f t="shared" si="0"/>
        <v>0</v>
      </c>
    </row>
    <row r="24" ht="15.75" customHeight="1" spans="1:8">
      <c r="A24" s="17"/>
      <c r="B24" s="18">
        <v>22</v>
      </c>
      <c r="C24" s="19" t="s">
        <v>34</v>
      </c>
      <c r="D24" s="31" t="s">
        <v>18</v>
      </c>
      <c r="E24" s="21">
        <v>500</v>
      </c>
      <c r="F24" s="21">
        <v>100</v>
      </c>
      <c r="G24" s="22"/>
      <c r="H24" s="23">
        <f t="shared" si="0"/>
        <v>0</v>
      </c>
    </row>
    <row r="25" ht="15.75" customHeight="1" spans="1:8">
      <c r="A25" s="17"/>
      <c r="B25" s="18">
        <v>23</v>
      </c>
      <c r="C25" s="19" t="s">
        <v>35</v>
      </c>
      <c r="D25" s="31" t="s">
        <v>18</v>
      </c>
      <c r="E25" s="21">
        <v>700</v>
      </c>
      <c r="F25" s="21">
        <v>140</v>
      </c>
      <c r="G25" s="22"/>
      <c r="H25" s="23">
        <f t="shared" si="0"/>
        <v>0</v>
      </c>
    </row>
    <row r="26" ht="15.75" customHeight="1" spans="1:8">
      <c r="A26" s="24"/>
      <c r="B26" s="25">
        <v>24</v>
      </c>
      <c r="C26" s="26" t="s">
        <v>36</v>
      </c>
      <c r="D26" s="36" t="s">
        <v>18</v>
      </c>
      <c r="E26" s="28">
        <v>750</v>
      </c>
      <c r="F26" s="28">
        <v>150</v>
      </c>
      <c r="G26" s="29"/>
      <c r="H26" s="23">
        <f t="shared" si="0"/>
        <v>0</v>
      </c>
    </row>
    <row r="27" ht="15.75" customHeight="1" spans="1:8">
      <c r="A27" s="37" t="s">
        <v>37</v>
      </c>
      <c r="B27" s="11">
        <v>25</v>
      </c>
      <c r="C27" s="12" t="s">
        <v>38</v>
      </c>
      <c r="D27" s="30" t="s">
        <v>18</v>
      </c>
      <c r="E27" s="14">
        <v>110</v>
      </c>
      <c r="F27" s="14">
        <v>22</v>
      </c>
      <c r="G27" s="15">
        <v>1</v>
      </c>
      <c r="H27" s="23">
        <f t="shared" si="0"/>
        <v>22</v>
      </c>
    </row>
    <row r="28" ht="15.75" customHeight="1" spans="1:8">
      <c r="A28" s="38"/>
      <c r="B28" s="25">
        <v>26</v>
      </c>
      <c r="C28" s="26" t="s">
        <v>39</v>
      </c>
      <c r="D28" s="36" t="s">
        <v>18</v>
      </c>
      <c r="E28" s="28">
        <v>290</v>
      </c>
      <c r="F28" s="28">
        <v>58</v>
      </c>
      <c r="G28" s="29">
        <v>1</v>
      </c>
      <c r="H28" s="23">
        <f t="shared" si="0"/>
        <v>58</v>
      </c>
    </row>
    <row r="29" ht="15.75" customHeight="1" spans="1:8">
      <c r="A29" s="10" t="s">
        <v>40</v>
      </c>
      <c r="B29" s="11">
        <v>27</v>
      </c>
      <c r="C29" s="12" t="s">
        <v>41</v>
      </c>
      <c r="D29" s="30" t="s">
        <v>18</v>
      </c>
      <c r="E29" s="14">
        <v>225</v>
      </c>
      <c r="F29" s="14">
        <v>45</v>
      </c>
      <c r="G29" s="15"/>
      <c r="H29" s="23">
        <f t="shared" si="0"/>
        <v>0</v>
      </c>
    </row>
    <row r="30" ht="15.75" customHeight="1" spans="1:8">
      <c r="A30" s="17"/>
      <c r="B30" s="18">
        <v>28</v>
      </c>
      <c r="C30" s="19" t="s">
        <v>42</v>
      </c>
      <c r="D30" s="31" t="s">
        <v>18</v>
      </c>
      <c r="E30" s="21">
        <v>310</v>
      </c>
      <c r="F30" s="21">
        <v>62</v>
      </c>
      <c r="G30" s="22"/>
      <c r="H30" s="23">
        <f t="shared" si="0"/>
        <v>0</v>
      </c>
    </row>
    <row r="31" ht="15.75" customHeight="1" spans="1:8">
      <c r="A31" s="17"/>
      <c r="B31" s="18">
        <v>29</v>
      </c>
      <c r="C31" s="19" t="s">
        <v>43</v>
      </c>
      <c r="D31" s="31" t="s">
        <v>18</v>
      </c>
      <c r="E31" s="21">
        <v>410</v>
      </c>
      <c r="F31" s="21">
        <v>82</v>
      </c>
      <c r="G31" s="22"/>
      <c r="H31" s="23">
        <f t="shared" si="0"/>
        <v>0</v>
      </c>
    </row>
    <row r="32" ht="15.75" customHeight="1" spans="1:8">
      <c r="A32" s="17"/>
      <c r="B32" s="18">
        <v>30</v>
      </c>
      <c r="C32" s="19" t="s">
        <v>44</v>
      </c>
      <c r="D32" s="31" t="s">
        <v>18</v>
      </c>
      <c r="E32" s="21">
        <v>550</v>
      </c>
      <c r="F32" s="21">
        <v>110</v>
      </c>
      <c r="G32" s="22"/>
      <c r="H32" s="23">
        <f t="shared" si="0"/>
        <v>0</v>
      </c>
    </row>
    <row r="33" ht="15.75" customHeight="1" spans="1:8">
      <c r="A33" s="17"/>
      <c r="B33" s="18">
        <v>31</v>
      </c>
      <c r="C33" s="19" t="s">
        <v>45</v>
      </c>
      <c r="D33" s="31" t="s">
        <v>18</v>
      </c>
      <c r="E33" s="21">
        <v>875</v>
      </c>
      <c r="F33" s="21">
        <v>175</v>
      </c>
      <c r="G33" s="22"/>
      <c r="H33" s="23">
        <f t="shared" si="0"/>
        <v>0</v>
      </c>
    </row>
    <row r="34" ht="15.75" customHeight="1" spans="1:8">
      <c r="A34" s="24"/>
      <c r="B34" s="25">
        <v>32</v>
      </c>
      <c r="C34" s="26" t="s">
        <v>46</v>
      </c>
      <c r="D34" s="36" t="s">
        <v>18</v>
      </c>
      <c r="E34" s="28">
        <v>925</v>
      </c>
      <c r="F34" s="28">
        <v>185</v>
      </c>
      <c r="G34" s="29"/>
      <c r="H34" s="23">
        <f t="shared" si="0"/>
        <v>0</v>
      </c>
    </row>
    <row r="35" ht="15.75" customHeight="1" spans="1:8">
      <c r="A35" s="10" t="s">
        <v>47</v>
      </c>
      <c r="B35" s="11">
        <v>33</v>
      </c>
      <c r="C35" s="12" t="s">
        <v>48</v>
      </c>
      <c r="D35" s="30" t="s">
        <v>49</v>
      </c>
      <c r="E35" s="14">
        <v>240</v>
      </c>
      <c r="F35" s="14">
        <v>48</v>
      </c>
      <c r="G35" s="15"/>
      <c r="H35" s="23">
        <f t="shared" si="0"/>
        <v>0</v>
      </c>
    </row>
    <row r="36" ht="15.75" customHeight="1" spans="1:8">
      <c r="A36" s="17"/>
      <c r="B36" s="18">
        <v>34</v>
      </c>
      <c r="C36" s="19" t="s">
        <v>50</v>
      </c>
      <c r="D36" s="31" t="s">
        <v>49</v>
      </c>
      <c r="E36" s="21">
        <v>480</v>
      </c>
      <c r="F36" s="21">
        <v>96</v>
      </c>
      <c r="G36" s="22"/>
      <c r="H36" s="23">
        <f t="shared" si="0"/>
        <v>0</v>
      </c>
    </row>
    <row r="37" ht="15.75" customHeight="1" spans="1:8">
      <c r="A37" s="17"/>
      <c r="B37" s="18">
        <v>35</v>
      </c>
      <c r="C37" s="19" t="s">
        <v>51</v>
      </c>
      <c r="D37" s="31" t="s">
        <v>49</v>
      </c>
      <c r="E37" s="21">
        <v>850</v>
      </c>
      <c r="F37" s="21">
        <v>170</v>
      </c>
      <c r="G37" s="22"/>
      <c r="H37" s="23">
        <f t="shared" si="0"/>
        <v>0</v>
      </c>
    </row>
    <row r="38" ht="15.75" customHeight="1" spans="1:8">
      <c r="A38" s="17"/>
      <c r="B38" s="18">
        <v>36</v>
      </c>
      <c r="C38" s="19" t="s">
        <v>52</v>
      </c>
      <c r="D38" s="31" t="s">
        <v>10</v>
      </c>
      <c r="E38" s="21">
        <v>500</v>
      </c>
      <c r="F38" s="21">
        <v>100</v>
      </c>
      <c r="G38" s="22"/>
      <c r="H38" s="23">
        <f t="shared" si="0"/>
        <v>0</v>
      </c>
    </row>
    <row r="39" ht="15.75" customHeight="1" spans="1:8">
      <c r="A39" s="17"/>
      <c r="B39" s="18">
        <v>37</v>
      </c>
      <c r="C39" s="19" t="s">
        <v>53</v>
      </c>
      <c r="D39" s="31" t="s">
        <v>18</v>
      </c>
      <c r="E39" s="21">
        <v>900</v>
      </c>
      <c r="F39" s="21">
        <v>180</v>
      </c>
      <c r="G39" s="22">
        <v>1</v>
      </c>
      <c r="H39" s="23">
        <f t="shared" si="0"/>
        <v>180</v>
      </c>
    </row>
    <row r="40" ht="15.75" customHeight="1" spans="1:8">
      <c r="A40" s="24"/>
      <c r="B40" s="25">
        <v>38</v>
      </c>
      <c r="C40" s="26" t="s">
        <v>54</v>
      </c>
      <c r="D40" s="36" t="s">
        <v>18</v>
      </c>
      <c r="E40" s="28">
        <v>750</v>
      </c>
      <c r="F40" s="28">
        <v>150</v>
      </c>
      <c r="G40" s="29"/>
      <c r="H40" s="23">
        <f t="shared" si="0"/>
        <v>0</v>
      </c>
    </row>
    <row r="41" ht="15.75" customHeight="1" spans="1:8">
      <c r="A41" s="10" t="s">
        <v>55</v>
      </c>
      <c r="B41" s="11">
        <v>39</v>
      </c>
      <c r="C41" s="12" t="s">
        <v>56</v>
      </c>
      <c r="D41" s="30" t="s">
        <v>57</v>
      </c>
      <c r="E41" s="14">
        <v>450</v>
      </c>
      <c r="F41" s="14">
        <v>90</v>
      </c>
      <c r="G41" s="15"/>
      <c r="H41" s="23">
        <f t="shared" si="0"/>
        <v>0</v>
      </c>
    </row>
    <row r="42" ht="15.75" customHeight="1" spans="1:8">
      <c r="A42" s="17"/>
      <c r="B42" s="18">
        <v>40</v>
      </c>
      <c r="C42" s="19" t="s">
        <v>58</v>
      </c>
      <c r="D42" s="31" t="s">
        <v>49</v>
      </c>
      <c r="E42" s="21">
        <v>300</v>
      </c>
      <c r="F42" s="21">
        <v>60</v>
      </c>
      <c r="G42" s="22"/>
      <c r="H42" s="23">
        <f t="shared" si="0"/>
        <v>0</v>
      </c>
    </row>
    <row r="43" ht="15.75" customHeight="1" spans="1:8">
      <c r="A43" s="24"/>
      <c r="B43" s="25">
        <v>41</v>
      </c>
      <c r="C43" s="26" t="s">
        <v>59</v>
      </c>
      <c r="D43" s="36" t="s">
        <v>49</v>
      </c>
      <c r="E43" s="28">
        <v>800</v>
      </c>
      <c r="F43" s="28">
        <v>160</v>
      </c>
      <c r="G43" s="29"/>
      <c r="H43" s="23">
        <f t="shared" si="0"/>
        <v>0</v>
      </c>
    </row>
    <row r="44" ht="15.75" customHeight="1" spans="1:8">
      <c r="A44" s="10" t="s">
        <v>60</v>
      </c>
      <c r="B44" s="11">
        <v>42</v>
      </c>
      <c r="C44" s="12" t="s">
        <v>61</v>
      </c>
      <c r="D44" s="30" t="s">
        <v>18</v>
      </c>
      <c r="E44" s="14">
        <v>180</v>
      </c>
      <c r="F44" s="14">
        <v>36</v>
      </c>
      <c r="G44" s="15"/>
      <c r="H44" s="23">
        <f t="shared" si="0"/>
        <v>0</v>
      </c>
    </row>
    <row r="45" ht="15.75" customHeight="1" spans="1:8">
      <c r="A45" s="17"/>
      <c r="B45" s="18">
        <v>43</v>
      </c>
      <c r="C45" s="19" t="s">
        <v>62</v>
      </c>
      <c r="D45" s="31" t="s">
        <v>18</v>
      </c>
      <c r="E45" s="21">
        <v>300</v>
      </c>
      <c r="F45" s="21">
        <v>60</v>
      </c>
      <c r="G45" s="22"/>
      <c r="H45" s="23">
        <f t="shared" si="0"/>
        <v>0</v>
      </c>
    </row>
    <row r="46" ht="15.75" customHeight="1" spans="1:8">
      <c r="A46" s="17"/>
      <c r="B46" s="18">
        <v>44</v>
      </c>
      <c r="C46" s="19" t="s">
        <v>63</v>
      </c>
      <c r="D46" s="31" t="s">
        <v>18</v>
      </c>
      <c r="E46" s="21">
        <v>525</v>
      </c>
      <c r="F46" s="21">
        <v>105</v>
      </c>
      <c r="G46" s="22"/>
      <c r="H46" s="23">
        <f t="shared" si="0"/>
        <v>0</v>
      </c>
    </row>
    <row r="47" ht="15.75" customHeight="1" spans="1:8">
      <c r="A47" s="17"/>
      <c r="B47" s="18">
        <v>45</v>
      </c>
      <c r="C47" s="19" t="s">
        <v>64</v>
      </c>
      <c r="D47" s="31" t="s">
        <v>18</v>
      </c>
      <c r="E47" s="21">
        <v>600</v>
      </c>
      <c r="F47" s="21">
        <v>120</v>
      </c>
      <c r="G47" s="22"/>
      <c r="H47" s="23">
        <f t="shared" si="0"/>
        <v>0</v>
      </c>
    </row>
    <row r="48" ht="15.75" customHeight="1" spans="1:8">
      <c r="A48" s="24"/>
      <c r="B48" s="25">
        <v>46</v>
      </c>
      <c r="C48" s="26" t="s">
        <v>65</v>
      </c>
      <c r="D48" s="36" t="s">
        <v>18</v>
      </c>
      <c r="E48" s="28">
        <v>550</v>
      </c>
      <c r="F48" s="28">
        <v>110</v>
      </c>
      <c r="G48" s="29"/>
      <c r="H48" s="23">
        <f t="shared" si="0"/>
        <v>0</v>
      </c>
    </row>
    <row r="49" ht="15.75" customHeight="1" spans="1:8">
      <c r="A49" s="10" t="s">
        <v>66</v>
      </c>
      <c r="B49" s="11">
        <v>47</v>
      </c>
      <c r="C49" s="12" t="s">
        <v>67</v>
      </c>
      <c r="D49" s="30" t="s">
        <v>10</v>
      </c>
      <c r="E49" s="14">
        <v>130</v>
      </c>
      <c r="F49" s="14">
        <v>26</v>
      </c>
      <c r="G49" s="15"/>
      <c r="H49" s="23">
        <f t="shared" si="0"/>
        <v>0</v>
      </c>
    </row>
    <row r="50" ht="15.75" customHeight="1" spans="1:8">
      <c r="A50" s="24"/>
      <c r="B50" s="25">
        <v>48</v>
      </c>
      <c r="C50" s="26" t="s">
        <v>68</v>
      </c>
      <c r="D50" s="36" t="s">
        <v>10</v>
      </c>
      <c r="E50" s="28">
        <v>160</v>
      </c>
      <c r="F50" s="28">
        <v>32</v>
      </c>
      <c r="G50" s="29"/>
      <c r="H50" s="23">
        <f t="shared" si="0"/>
        <v>0</v>
      </c>
    </row>
    <row r="51" ht="15.75" customHeight="1" spans="1:8">
      <c r="A51" s="10" t="s">
        <v>69</v>
      </c>
      <c r="B51" s="11">
        <v>49</v>
      </c>
      <c r="C51" s="12" t="s">
        <v>70</v>
      </c>
      <c r="D51" s="30" t="s">
        <v>18</v>
      </c>
      <c r="E51" s="14">
        <v>500</v>
      </c>
      <c r="F51" s="14">
        <v>100</v>
      </c>
      <c r="G51" s="15">
        <v>1</v>
      </c>
      <c r="H51" s="23">
        <f t="shared" si="0"/>
        <v>100</v>
      </c>
    </row>
    <row r="52" ht="15.75" customHeight="1" spans="1:8">
      <c r="A52" s="17"/>
      <c r="B52" s="18">
        <v>50</v>
      </c>
      <c r="C52" s="19" t="s">
        <v>71</v>
      </c>
      <c r="D52" s="31" t="s">
        <v>49</v>
      </c>
      <c r="E52" s="21">
        <v>700</v>
      </c>
      <c r="F52" s="21">
        <v>140</v>
      </c>
      <c r="G52" s="22"/>
      <c r="H52" s="23">
        <f t="shared" si="0"/>
        <v>0</v>
      </c>
    </row>
    <row r="53" ht="15.75" customHeight="1" spans="1:8">
      <c r="A53" s="24"/>
      <c r="B53" s="25">
        <v>51</v>
      </c>
      <c r="C53" s="26" t="s">
        <v>72</v>
      </c>
      <c r="D53" s="36" t="s">
        <v>49</v>
      </c>
      <c r="E53" s="28">
        <v>1925</v>
      </c>
      <c r="F53" s="28">
        <v>385</v>
      </c>
      <c r="G53" s="29"/>
      <c r="H53" s="23">
        <f t="shared" si="0"/>
        <v>0</v>
      </c>
    </row>
    <row r="54" ht="15.75" customHeight="1" spans="1:8">
      <c r="A54" s="39" t="s">
        <v>73</v>
      </c>
      <c r="B54" s="40">
        <v>52</v>
      </c>
      <c r="C54" s="41" t="s">
        <v>74</v>
      </c>
      <c r="D54" s="30" t="s">
        <v>57</v>
      </c>
      <c r="E54" s="14">
        <v>825</v>
      </c>
      <c r="F54" s="14">
        <v>165</v>
      </c>
      <c r="G54" s="15"/>
      <c r="H54" s="23">
        <f t="shared" si="0"/>
        <v>0</v>
      </c>
    </row>
    <row r="55" ht="15.75" customHeight="1" spans="1:8">
      <c r="A55" s="42"/>
      <c r="B55" s="43">
        <v>53</v>
      </c>
      <c r="C55" s="44" t="s">
        <v>75</v>
      </c>
      <c r="D55" s="31" t="s">
        <v>57</v>
      </c>
      <c r="E55" s="21">
        <v>750</v>
      </c>
      <c r="F55" s="21">
        <v>150</v>
      </c>
      <c r="G55" s="22"/>
      <c r="H55" s="23">
        <f t="shared" si="0"/>
        <v>0</v>
      </c>
    </row>
    <row r="56" ht="15.75" customHeight="1" spans="1:8">
      <c r="A56" s="45"/>
      <c r="B56" s="46">
        <v>54</v>
      </c>
      <c r="C56" s="47" t="s">
        <v>76</v>
      </c>
      <c r="D56" s="36" t="s">
        <v>57</v>
      </c>
      <c r="E56" s="28">
        <v>2125</v>
      </c>
      <c r="F56" s="28">
        <v>425</v>
      </c>
      <c r="G56" s="29"/>
      <c r="H56" s="23">
        <f t="shared" si="0"/>
        <v>0</v>
      </c>
    </row>
    <row r="57" ht="15.75" customHeight="1" spans="1:8">
      <c r="A57" s="10" t="s">
        <v>77</v>
      </c>
      <c r="B57" s="11">
        <v>55</v>
      </c>
      <c r="C57" s="12" t="s">
        <v>78</v>
      </c>
      <c r="D57" s="30" t="s">
        <v>57</v>
      </c>
      <c r="E57" s="14">
        <v>500</v>
      </c>
      <c r="F57" s="14">
        <v>100</v>
      </c>
      <c r="G57" s="15"/>
      <c r="H57" s="23">
        <f t="shared" si="0"/>
        <v>0</v>
      </c>
    </row>
    <row r="58" ht="15.75" customHeight="1" spans="1:8">
      <c r="A58" s="17"/>
      <c r="B58" s="18">
        <v>56</v>
      </c>
      <c r="C58" s="19" t="s">
        <v>79</v>
      </c>
      <c r="D58" s="31" t="s">
        <v>57</v>
      </c>
      <c r="E58" s="21">
        <v>450</v>
      </c>
      <c r="F58" s="21">
        <v>90</v>
      </c>
      <c r="G58" s="22">
        <v>1</v>
      </c>
      <c r="H58" s="23">
        <f t="shared" si="0"/>
        <v>90</v>
      </c>
    </row>
    <row r="59" ht="15.75" customHeight="1" spans="1:8">
      <c r="A59" s="24"/>
      <c r="B59" s="25">
        <v>57</v>
      </c>
      <c r="C59" s="26" t="s">
        <v>80</v>
      </c>
      <c r="D59" s="36" t="s">
        <v>57</v>
      </c>
      <c r="E59" s="28">
        <v>450</v>
      </c>
      <c r="F59" s="28">
        <v>90</v>
      </c>
      <c r="G59" s="29"/>
      <c r="H59" s="23">
        <f t="shared" si="0"/>
        <v>0</v>
      </c>
    </row>
    <row r="60" ht="15.75" customHeight="1" spans="1:8">
      <c r="A60" s="10" t="s">
        <v>81</v>
      </c>
      <c r="B60" s="48">
        <v>58.1</v>
      </c>
      <c r="C60" s="49" t="s">
        <v>82</v>
      </c>
      <c r="D60" s="50" t="s">
        <v>49</v>
      </c>
      <c r="E60" s="51">
        <v>650</v>
      </c>
      <c r="F60" s="51">
        <v>130</v>
      </c>
      <c r="G60" s="15">
        <v>1</v>
      </c>
      <c r="H60" s="23">
        <f t="shared" si="0"/>
        <v>130</v>
      </c>
    </row>
    <row r="61" ht="15.75" customHeight="1" spans="1:8">
      <c r="A61" s="17"/>
      <c r="B61" s="52">
        <v>58.2</v>
      </c>
      <c r="C61" s="53">
        <v>6000</v>
      </c>
      <c r="D61" s="54" t="s">
        <v>83</v>
      </c>
      <c r="E61" s="55">
        <v>700</v>
      </c>
      <c r="F61" s="55">
        <v>140</v>
      </c>
      <c r="G61" s="22"/>
      <c r="H61" s="23">
        <f t="shared" si="0"/>
        <v>0</v>
      </c>
    </row>
    <row r="62" ht="15.75" customHeight="1" spans="1:8">
      <c r="A62" s="17"/>
      <c r="B62" s="52">
        <v>58.3</v>
      </c>
      <c r="C62" s="53" t="s">
        <v>84</v>
      </c>
      <c r="D62" s="54" t="s">
        <v>49</v>
      </c>
      <c r="E62" s="55">
        <v>700</v>
      </c>
      <c r="F62" s="55">
        <v>140</v>
      </c>
      <c r="G62" s="22"/>
      <c r="H62" s="23">
        <f t="shared" si="0"/>
        <v>0</v>
      </c>
    </row>
    <row r="63" ht="15.75" customHeight="1" spans="1:8">
      <c r="A63" s="24"/>
      <c r="B63" s="56">
        <v>58.4</v>
      </c>
      <c r="C63" s="57" t="s">
        <v>85</v>
      </c>
      <c r="D63" s="58" t="s">
        <v>49</v>
      </c>
      <c r="E63" s="59">
        <v>700</v>
      </c>
      <c r="F63" s="59">
        <v>140</v>
      </c>
      <c r="G63" s="29"/>
      <c r="H63" s="23">
        <f t="shared" si="0"/>
        <v>0</v>
      </c>
    </row>
    <row r="64" ht="15.75" customHeight="1" spans="1:8">
      <c r="A64" s="10" t="s">
        <v>86</v>
      </c>
      <c r="B64" s="60">
        <v>59.1</v>
      </c>
      <c r="C64" s="12" t="s">
        <v>87</v>
      </c>
      <c r="D64" s="30" t="s">
        <v>88</v>
      </c>
      <c r="E64" s="14">
        <v>800</v>
      </c>
      <c r="F64" s="14">
        <v>160</v>
      </c>
      <c r="G64" s="15">
        <v>1</v>
      </c>
      <c r="H64" s="23">
        <f t="shared" si="0"/>
        <v>160</v>
      </c>
    </row>
    <row r="65" ht="15.75" customHeight="1" spans="1:8">
      <c r="A65" s="17"/>
      <c r="B65" s="61">
        <v>59.2</v>
      </c>
      <c r="C65" s="19" t="s">
        <v>89</v>
      </c>
      <c r="D65" s="31" t="s">
        <v>88</v>
      </c>
      <c r="E65" s="21">
        <v>800</v>
      </c>
      <c r="F65" s="21">
        <v>160</v>
      </c>
      <c r="G65" s="22"/>
      <c r="H65" s="23">
        <f t="shared" si="0"/>
        <v>0</v>
      </c>
    </row>
    <row r="66" ht="15.75" customHeight="1" spans="1:8">
      <c r="A66" s="17"/>
      <c r="B66" s="61">
        <v>59.3</v>
      </c>
      <c r="C66" s="19" t="s">
        <v>90</v>
      </c>
      <c r="D66" s="31" t="s">
        <v>88</v>
      </c>
      <c r="E66" s="21">
        <v>800</v>
      </c>
      <c r="F66" s="21">
        <v>160</v>
      </c>
      <c r="G66" s="22"/>
      <c r="H66" s="23">
        <f t="shared" si="0"/>
        <v>0</v>
      </c>
    </row>
    <row r="67" ht="15.75" customHeight="1" spans="1:8">
      <c r="A67" s="17"/>
      <c r="B67" s="61">
        <v>59.4</v>
      </c>
      <c r="C67" s="19" t="s">
        <v>91</v>
      </c>
      <c r="D67" s="31" t="s">
        <v>88</v>
      </c>
      <c r="E67" s="21">
        <v>800</v>
      </c>
      <c r="F67" s="21">
        <v>160</v>
      </c>
      <c r="G67" s="22"/>
      <c r="H67" s="23">
        <f t="shared" si="0"/>
        <v>0</v>
      </c>
    </row>
    <row r="68" ht="15.75" customHeight="1" spans="1:8">
      <c r="A68" s="17"/>
      <c r="B68" s="61">
        <v>59.5</v>
      </c>
      <c r="C68" s="19" t="s">
        <v>92</v>
      </c>
      <c r="D68" s="31" t="s">
        <v>88</v>
      </c>
      <c r="E68" s="21">
        <v>800</v>
      </c>
      <c r="F68" s="21">
        <v>160</v>
      </c>
      <c r="G68" s="22"/>
      <c r="H68" s="23">
        <f t="shared" ref="H68:H131" si="1">F68*G68</f>
        <v>0</v>
      </c>
    </row>
    <row r="69" ht="15.75" customHeight="1" spans="1:8">
      <c r="A69" s="24"/>
      <c r="B69" s="62">
        <v>59.6</v>
      </c>
      <c r="C69" s="26" t="s">
        <v>93</v>
      </c>
      <c r="D69" s="36" t="s">
        <v>88</v>
      </c>
      <c r="E69" s="28">
        <v>800</v>
      </c>
      <c r="F69" s="28">
        <v>160</v>
      </c>
      <c r="G69" s="29"/>
      <c r="H69" s="23">
        <f t="shared" si="1"/>
        <v>0</v>
      </c>
    </row>
    <row r="70" ht="15.75" customHeight="1" spans="1:8">
      <c r="A70" s="10" t="s">
        <v>94</v>
      </c>
      <c r="B70" s="60">
        <v>60.1</v>
      </c>
      <c r="C70" s="12" t="s">
        <v>95</v>
      </c>
      <c r="D70" s="30" t="s">
        <v>49</v>
      </c>
      <c r="E70" s="14">
        <v>750</v>
      </c>
      <c r="F70" s="14">
        <v>150</v>
      </c>
      <c r="G70" s="15">
        <v>1</v>
      </c>
      <c r="H70" s="23">
        <f t="shared" si="1"/>
        <v>150</v>
      </c>
    </row>
    <row r="71" ht="15.75" customHeight="1" spans="1:8">
      <c r="A71" s="17"/>
      <c r="B71" s="61">
        <v>60.2</v>
      </c>
      <c r="C71" s="19" t="s">
        <v>96</v>
      </c>
      <c r="D71" s="31" t="s">
        <v>49</v>
      </c>
      <c r="E71" s="21">
        <v>750</v>
      </c>
      <c r="F71" s="21">
        <v>150</v>
      </c>
      <c r="G71" s="22">
        <v>1</v>
      </c>
      <c r="H71" s="23">
        <f t="shared" si="1"/>
        <v>150</v>
      </c>
    </row>
    <row r="72" ht="15.75" customHeight="1" spans="1:8">
      <c r="A72" s="17"/>
      <c r="B72" s="61">
        <v>60.3</v>
      </c>
      <c r="C72" s="19" t="s">
        <v>97</v>
      </c>
      <c r="D72" s="31" t="s">
        <v>49</v>
      </c>
      <c r="E72" s="21">
        <v>750</v>
      </c>
      <c r="F72" s="21">
        <v>150</v>
      </c>
      <c r="G72" s="22"/>
      <c r="H72" s="23">
        <f t="shared" si="1"/>
        <v>0</v>
      </c>
    </row>
    <row r="73" ht="15.75" customHeight="1" spans="1:8">
      <c r="A73" s="17"/>
      <c r="B73" s="61">
        <v>60.4</v>
      </c>
      <c r="C73" s="19" t="s">
        <v>98</v>
      </c>
      <c r="D73" s="31" t="s">
        <v>49</v>
      </c>
      <c r="E73" s="21">
        <v>750</v>
      </c>
      <c r="F73" s="21">
        <v>150</v>
      </c>
      <c r="G73" s="22"/>
      <c r="H73" s="23">
        <f t="shared" si="1"/>
        <v>0</v>
      </c>
    </row>
    <row r="74" ht="15.75" customHeight="1" spans="1:8">
      <c r="A74" s="24"/>
      <c r="B74" s="62">
        <v>60.5</v>
      </c>
      <c r="C74" s="26" t="s">
        <v>99</v>
      </c>
      <c r="D74" s="36" t="s">
        <v>49</v>
      </c>
      <c r="E74" s="28">
        <v>750</v>
      </c>
      <c r="F74" s="28">
        <v>150</v>
      </c>
      <c r="G74" s="29"/>
      <c r="H74" s="23">
        <f t="shared" si="1"/>
        <v>0</v>
      </c>
    </row>
    <row r="75" ht="15.75" customHeight="1" spans="1:8">
      <c r="A75" s="10" t="s">
        <v>100</v>
      </c>
      <c r="B75" s="11">
        <v>61</v>
      </c>
      <c r="C75" s="12" t="s">
        <v>101</v>
      </c>
      <c r="D75" s="30" t="s">
        <v>18</v>
      </c>
      <c r="E75" s="14">
        <v>165</v>
      </c>
      <c r="F75" s="14">
        <v>33</v>
      </c>
      <c r="G75" s="15"/>
      <c r="H75" s="23">
        <f t="shared" si="1"/>
        <v>0</v>
      </c>
    </row>
    <row r="76" ht="15.75" customHeight="1" spans="1:8">
      <c r="A76" s="17"/>
      <c r="B76" s="18">
        <v>62</v>
      </c>
      <c r="C76" s="19" t="s">
        <v>102</v>
      </c>
      <c r="D76" s="31" t="s">
        <v>57</v>
      </c>
      <c r="E76" s="21">
        <v>750</v>
      </c>
      <c r="F76" s="21">
        <v>150</v>
      </c>
      <c r="G76" s="22"/>
      <c r="H76" s="23">
        <f t="shared" si="1"/>
        <v>0</v>
      </c>
    </row>
    <row r="77" ht="15.75" customHeight="1" spans="1:8">
      <c r="A77" s="17"/>
      <c r="B77" s="18">
        <v>63</v>
      </c>
      <c r="C77" s="19" t="s">
        <v>103</v>
      </c>
      <c r="D77" s="31" t="s">
        <v>18</v>
      </c>
      <c r="E77" s="21">
        <v>250</v>
      </c>
      <c r="F77" s="21">
        <v>50</v>
      </c>
      <c r="G77" s="22"/>
      <c r="H77" s="23">
        <f t="shared" si="1"/>
        <v>0</v>
      </c>
    </row>
    <row r="78" ht="15.75" customHeight="1" spans="1:8">
      <c r="A78" s="17"/>
      <c r="B78" s="18">
        <v>64</v>
      </c>
      <c r="C78" s="19" t="s">
        <v>104</v>
      </c>
      <c r="D78" s="31" t="s">
        <v>18</v>
      </c>
      <c r="E78" s="21">
        <v>1200</v>
      </c>
      <c r="F78" s="21">
        <v>240</v>
      </c>
      <c r="G78" s="22"/>
      <c r="H78" s="23">
        <f t="shared" si="1"/>
        <v>0</v>
      </c>
    </row>
    <row r="79" ht="15.75" customHeight="1" spans="1:8">
      <c r="A79" s="17"/>
      <c r="B79" s="18">
        <v>65</v>
      </c>
      <c r="C79" s="19" t="s">
        <v>105</v>
      </c>
      <c r="D79" s="31" t="s">
        <v>57</v>
      </c>
      <c r="E79" s="21">
        <v>875</v>
      </c>
      <c r="F79" s="21">
        <v>175</v>
      </c>
      <c r="G79" s="22"/>
      <c r="H79" s="23">
        <f t="shared" si="1"/>
        <v>0</v>
      </c>
    </row>
    <row r="80" ht="15.75" customHeight="1" spans="1:8">
      <c r="A80" s="17"/>
      <c r="B80" s="18">
        <v>66</v>
      </c>
      <c r="C80" s="19" t="s">
        <v>106</v>
      </c>
      <c r="D80" s="31" t="s">
        <v>18</v>
      </c>
      <c r="E80" s="21">
        <v>450</v>
      </c>
      <c r="F80" s="21">
        <v>90</v>
      </c>
      <c r="G80" s="22">
        <v>1</v>
      </c>
      <c r="H80" s="23">
        <f t="shared" si="1"/>
        <v>90</v>
      </c>
    </row>
    <row r="81" ht="15.75" customHeight="1" spans="1:8">
      <c r="A81" s="17"/>
      <c r="B81" s="18">
        <v>67</v>
      </c>
      <c r="C81" s="19" t="s">
        <v>107</v>
      </c>
      <c r="D81" s="31" t="s">
        <v>18</v>
      </c>
      <c r="E81" s="21">
        <v>475</v>
      </c>
      <c r="F81" s="21">
        <v>95</v>
      </c>
      <c r="G81" s="22">
        <v>1</v>
      </c>
      <c r="H81" s="23">
        <f t="shared" si="1"/>
        <v>95</v>
      </c>
    </row>
    <row r="82" ht="15.75" customHeight="1" spans="1:8">
      <c r="A82" s="17"/>
      <c r="B82" s="18">
        <v>68</v>
      </c>
      <c r="C82" s="19" t="s">
        <v>108</v>
      </c>
      <c r="D82" s="31" t="s">
        <v>18</v>
      </c>
      <c r="E82" s="21">
        <v>1250</v>
      </c>
      <c r="F82" s="21">
        <v>250</v>
      </c>
      <c r="G82" s="22"/>
      <c r="H82" s="23">
        <f t="shared" si="1"/>
        <v>0</v>
      </c>
    </row>
    <row r="83" ht="15.75" customHeight="1" spans="1:8">
      <c r="A83" s="17"/>
      <c r="B83" s="18">
        <v>69</v>
      </c>
      <c r="C83" s="19" t="s">
        <v>109</v>
      </c>
      <c r="D83" s="31" t="s">
        <v>18</v>
      </c>
      <c r="E83" s="21">
        <v>900</v>
      </c>
      <c r="F83" s="21">
        <v>180</v>
      </c>
      <c r="G83" s="22"/>
      <c r="H83" s="23">
        <f t="shared" si="1"/>
        <v>0</v>
      </c>
    </row>
    <row r="84" ht="15.75" customHeight="1" spans="1:8">
      <c r="A84" s="17"/>
      <c r="B84" s="18">
        <v>70</v>
      </c>
      <c r="C84" s="19" t="s">
        <v>110</v>
      </c>
      <c r="D84" s="31" t="s">
        <v>18</v>
      </c>
      <c r="E84" s="21">
        <v>675</v>
      </c>
      <c r="F84" s="21">
        <v>135</v>
      </c>
      <c r="G84" s="22"/>
      <c r="H84" s="23">
        <f t="shared" si="1"/>
        <v>0</v>
      </c>
    </row>
    <row r="85" ht="15.75" customHeight="1" spans="1:8">
      <c r="A85" s="17"/>
      <c r="B85" s="18">
        <v>71</v>
      </c>
      <c r="C85" s="19" t="s">
        <v>111</v>
      </c>
      <c r="D85" s="31" t="s">
        <v>18</v>
      </c>
      <c r="E85" s="21">
        <v>625</v>
      </c>
      <c r="F85" s="21">
        <v>125</v>
      </c>
      <c r="G85" s="22"/>
      <c r="H85" s="23">
        <f t="shared" si="1"/>
        <v>0</v>
      </c>
    </row>
    <row r="86" ht="15.75" customHeight="1" spans="1:8">
      <c r="A86" s="24"/>
      <c r="B86" s="25">
        <v>72</v>
      </c>
      <c r="C86" s="26" t="s">
        <v>112</v>
      </c>
      <c r="D86" s="36" t="s">
        <v>18</v>
      </c>
      <c r="E86" s="28">
        <v>800</v>
      </c>
      <c r="F86" s="28">
        <v>160</v>
      </c>
      <c r="G86" s="29"/>
      <c r="H86" s="23">
        <f t="shared" si="1"/>
        <v>0</v>
      </c>
    </row>
    <row r="87" ht="15.75" customHeight="1" spans="1:8">
      <c r="A87" s="10" t="s">
        <v>113</v>
      </c>
      <c r="B87" s="11">
        <v>73</v>
      </c>
      <c r="C87" s="12" t="s">
        <v>114</v>
      </c>
      <c r="D87" s="30" t="s">
        <v>18</v>
      </c>
      <c r="E87" s="14">
        <v>50</v>
      </c>
      <c r="F87" s="14">
        <v>10</v>
      </c>
      <c r="G87" s="15">
        <v>2</v>
      </c>
      <c r="H87" s="23">
        <f t="shared" si="1"/>
        <v>20</v>
      </c>
    </row>
    <row r="88" ht="15.75" customHeight="1" spans="1:8">
      <c r="A88" s="17"/>
      <c r="B88" s="18">
        <v>74</v>
      </c>
      <c r="C88" s="19" t="s">
        <v>115</v>
      </c>
      <c r="D88" s="31" t="s">
        <v>18</v>
      </c>
      <c r="E88" s="21">
        <v>50</v>
      </c>
      <c r="F88" s="21">
        <v>10</v>
      </c>
      <c r="G88" s="22"/>
      <c r="H88" s="23">
        <f t="shared" si="1"/>
        <v>0</v>
      </c>
    </row>
    <row r="89" ht="15.75" customHeight="1" spans="1:8">
      <c r="A89" s="17"/>
      <c r="B89" s="18">
        <v>75</v>
      </c>
      <c r="C89" s="19" t="s">
        <v>116</v>
      </c>
      <c r="D89" s="31" t="s">
        <v>18</v>
      </c>
      <c r="E89" s="21">
        <v>450</v>
      </c>
      <c r="F89" s="21">
        <v>90</v>
      </c>
      <c r="G89" s="22"/>
      <c r="H89" s="23">
        <f t="shared" si="1"/>
        <v>0</v>
      </c>
    </row>
    <row r="90" ht="15.75" customHeight="1" spans="1:8">
      <c r="A90" s="17"/>
      <c r="B90" s="18">
        <v>76</v>
      </c>
      <c r="C90" s="19" t="s">
        <v>117</v>
      </c>
      <c r="D90" s="31" t="s">
        <v>57</v>
      </c>
      <c r="E90" s="21">
        <v>400</v>
      </c>
      <c r="F90" s="21">
        <v>80</v>
      </c>
      <c r="G90" s="22"/>
      <c r="H90" s="23">
        <f t="shared" si="1"/>
        <v>0</v>
      </c>
    </row>
    <row r="91" ht="15.75" customHeight="1" spans="1:8">
      <c r="A91" s="17"/>
      <c r="B91" s="18">
        <v>77</v>
      </c>
      <c r="C91" s="19" t="s">
        <v>118</v>
      </c>
      <c r="D91" s="31" t="s">
        <v>57</v>
      </c>
      <c r="E91" s="21">
        <v>375</v>
      </c>
      <c r="F91" s="21">
        <v>75</v>
      </c>
      <c r="G91" s="22"/>
      <c r="H91" s="23">
        <f t="shared" si="1"/>
        <v>0</v>
      </c>
    </row>
    <row r="92" ht="15.75" customHeight="1" spans="1:8">
      <c r="A92" s="17"/>
      <c r="B92" s="18">
        <v>78</v>
      </c>
      <c r="C92" s="19" t="s">
        <v>119</v>
      </c>
      <c r="D92" s="31" t="s">
        <v>57</v>
      </c>
      <c r="E92" s="21">
        <v>375</v>
      </c>
      <c r="F92" s="21">
        <v>75</v>
      </c>
      <c r="G92" s="22"/>
      <c r="H92" s="23">
        <f t="shared" si="1"/>
        <v>0</v>
      </c>
    </row>
    <row r="93" ht="15.75" customHeight="1" spans="1:8">
      <c r="A93" s="24"/>
      <c r="B93" s="25">
        <v>79</v>
      </c>
      <c r="C93" s="26" t="s">
        <v>120</v>
      </c>
      <c r="D93" s="36" t="s">
        <v>49</v>
      </c>
      <c r="E93" s="28">
        <v>400</v>
      </c>
      <c r="F93" s="28">
        <v>80</v>
      </c>
      <c r="G93" s="29"/>
      <c r="H93" s="23">
        <f t="shared" si="1"/>
        <v>0</v>
      </c>
    </row>
    <row r="94" ht="15.75" customHeight="1" spans="1:8">
      <c r="A94" s="10" t="s">
        <v>121</v>
      </c>
      <c r="B94" s="11">
        <v>80</v>
      </c>
      <c r="C94" s="12" t="s">
        <v>122</v>
      </c>
      <c r="D94" s="30" t="s">
        <v>18</v>
      </c>
      <c r="E94" s="14">
        <v>275</v>
      </c>
      <c r="F94" s="14">
        <v>55</v>
      </c>
      <c r="G94" s="15"/>
      <c r="H94" s="23">
        <f t="shared" si="1"/>
        <v>0</v>
      </c>
    </row>
    <row r="95" ht="15.75" customHeight="1" spans="1:8">
      <c r="A95" s="17"/>
      <c r="B95" s="18">
        <v>81</v>
      </c>
      <c r="C95" s="19" t="s">
        <v>123</v>
      </c>
      <c r="D95" s="31" t="s">
        <v>18</v>
      </c>
      <c r="E95" s="21">
        <v>650</v>
      </c>
      <c r="F95" s="21">
        <v>130</v>
      </c>
      <c r="G95" s="22"/>
      <c r="H95" s="23">
        <f t="shared" si="1"/>
        <v>0</v>
      </c>
    </row>
    <row r="96" ht="15.75" customHeight="1" spans="1:8">
      <c r="A96" s="17"/>
      <c r="B96" s="18">
        <v>82</v>
      </c>
      <c r="C96" s="19" t="s">
        <v>124</v>
      </c>
      <c r="D96" s="31" t="s">
        <v>18</v>
      </c>
      <c r="E96" s="21">
        <v>925</v>
      </c>
      <c r="F96" s="21">
        <v>185</v>
      </c>
      <c r="G96" s="22"/>
      <c r="H96" s="23">
        <f t="shared" si="1"/>
        <v>0</v>
      </c>
    </row>
    <row r="97" ht="15.75" customHeight="1" spans="1:8">
      <c r="A97" s="17"/>
      <c r="B97" s="18">
        <v>83</v>
      </c>
      <c r="C97" s="19" t="s">
        <v>125</v>
      </c>
      <c r="D97" s="31" t="s">
        <v>18</v>
      </c>
      <c r="E97" s="21">
        <v>400</v>
      </c>
      <c r="F97" s="21">
        <v>80</v>
      </c>
      <c r="G97" s="22"/>
      <c r="H97" s="23">
        <f t="shared" si="1"/>
        <v>0</v>
      </c>
    </row>
    <row r="98" ht="15.75" customHeight="1" spans="1:8">
      <c r="A98" s="17"/>
      <c r="B98" s="18">
        <v>84</v>
      </c>
      <c r="C98" s="19" t="s">
        <v>126</v>
      </c>
      <c r="D98" s="31" t="s">
        <v>18</v>
      </c>
      <c r="E98" s="21">
        <v>800</v>
      </c>
      <c r="F98" s="21">
        <v>160</v>
      </c>
      <c r="G98" s="22">
        <v>1</v>
      </c>
      <c r="H98" s="23">
        <f t="shared" si="1"/>
        <v>160</v>
      </c>
    </row>
    <row r="99" ht="15.75" customHeight="1" spans="1:8">
      <c r="A99" s="17"/>
      <c r="B99" s="18">
        <v>85</v>
      </c>
      <c r="C99" s="19" t="s">
        <v>127</v>
      </c>
      <c r="D99" s="31" t="s">
        <v>49</v>
      </c>
      <c r="E99" s="21">
        <v>900</v>
      </c>
      <c r="F99" s="21">
        <v>180</v>
      </c>
      <c r="G99" s="22"/>
      <c r="H99" s="23">
        <f t="shared" si="1"/>
        <v>0</v>
      </c>
    </row>
    <row r="100" ht="15.75" customHeight="1" spans="1:8">
      <c r="A100" s="17"/>
      <c r="B100" s="18">
        <v>86</v>
      </c>
      <c r="C100" s="19" t="s">
        <v>128</v>
      </c>
      <c r="D100" s="31" t="s">
        <v>18</v>
      </c>
      <c r="E100" s="21">
        <v>1300</v>
      </c>
      <c r="F100" s="21">
        <v>260</v>
      </c>
      <c r="G100" s="22"/>
      <c r="H100" s="23">
        <f t="shared" si="1"/>
        <v>0</v>
      </c>
    </row>
    <row r="101" ht="15.75" customHeight="1" spans="1:8">
      <c r="A101" s="17"/>
      <c r="B101" s="18">
        <v>87</v>
      </c>
      <c r="C101" s="19" t="s">
        <v>129</v>
      </c>
      <c r="D101" s="31" t="s">
        <v>18</v>
      </c>
      <c r="E101" s="21">
        <v>1400</v>
      </c>
      <c r="F101" s="21">
        <v>280</v>
      </c>
      <c r="G101" s="22"/>
      <c r="H101" s="23">
        <f t="shared" si="1"/>
        <v>0</v>
      </c>
    </row>
    <row r="102" ht="15.75" customHeight="1" spans="1:8">
      <c r="A102" s="17"/>
      <c r="B102" s="18">
        <v>88</v>
      </c>
      <c r="C102" s="19" t="s">
        <v>130</v>
      </c>
      <c r="D102" s="31" t="s">
        <v>57</v>
      </c>
      <c r="E102" s="21">
        <v>925</v>
      </c>
      <c r="F102" s="21">
        <v>185</v>
      </c>
      <c r="G102" s="22"/>
      <c r="H102" s="23">
        <f t="shared" si="1"/>
        <v>0</v>
      </c>
    </row>
    <row r="103" ht="15.75" customHeight="1" spans="1:8">
      <c r="A103" s="17"/>
      <c r="B103" s="18">
        <v>89</v>
      </c>
      <c r="C103" s="19" t="s">
        <v>131</v>
      </c>
      <c r="D103" s="31" t="s">
        <v>49</v>
      </c>
      <c r="E103" s="21">
        <v>1425</v>
      </c>
      <c r="F103" s="21">
        <v>285</v>
      </c>
      <c r="G103" s="22"/>
      <c r="H103" s="23">
        <f t="shared" si="1"/>
        <v>0</v>
      </c>
    </row>
    <row r="104" ht="15.75" customHeight="1" spans="1:8">
      <c r="A104" s="17"/>
      <c r="B104" s="18">
        <v>90</v>
      </c>
      <c r="C104" s="19" t="s">
        <v>132</v>
      </c>
      <c r="D104" s="31" t="s">
        <v>18</v>
      </c>
      <c r="E104" s="21">
        <v>1000</v>
      </c>
      <c r="F104" s="21">
        <v>200</v>
      </c>
      <c r="G104" s="22"/>
      <c r="H104" s="23">
        <f t="shared" si="1"/>
        <v>0</v>
      </c>
    </row>
    <row r="105" ht="15.75" customHeight="1" spans="1:8">
      <c r="A105" s="17"/>
      <c r="B105" s="18">
        <v>91</v>
      </c>
      <c r="C105" s="19" t="s">
        <v>133</v>
      </c>
      <c r="D105" s="31" t="s">
        <v>18</v>
      </c>
      <c r="E105" s="21">
        <v>1125</v>
      </c>
      <c r="F105" s="21">
        <v>225</v>
      </c>
      <c r="G105" s="22"/>
      <c r="H105" s="23">
        <f t="shared" si="1"/>
        <v>0</v>
      </c>
    </row>
    <row r="106" ht="15.75" customHeight="1" spans="1:8">
      <c r="A106" s="17"/>
      <c r="B106" s="18">
        <v>92</v>
      </c>
      <c r="C106" s="19" t="s">
        <v>134</v>
      </c>
      <c r="D106" s="31" t="s">
        <v>49</v>
      </c>
      <c r="E106" s="21">
        <v>900</v>
      </c>
      <c r="F106" s="21">
        <v>180</v>
      </c>
      <c r="G106" s="22"/>
      <c r="H106" s="23">
        <f t="shared" si="1"/>
        <v>0</v>
      </c>
    </row>
    <row r="107" ht="15.75" customHeight="1" spans="1:8">
      <c r="A107" s="17"/>
      <c r="B107" s="18">
        <v>93</v>
      </c>
      <c r="C107" s="19" t="s">
        <v>135</v>
      </c>
      <c r="D107" s="31" t="s">
        <v>49</v>
      </c>
      <c r="E107" s="21">
        <v>250</v>
      </c>
      <c r="F107" s="21">
        <v>50</v>
      </c>
      <c r="G107" s="22">
        <v>2</v>
      </c>
      <c r="H107" s="23">
        <f t="shared" si="1"/>
        <v>100</v>
      </c>
    </row>
    <row r="108" ht="15.75" customHeight="1" spans="1:8">
      <c r="A108" s="24"/>
      <c r="B108" s="25">
        <v>94</v>
      </c>
      <c r="C108" s="26" t="s">
        <v>136</v>
      </c>
      <c r="D108" s="36" t="s">
        <v>18</v>
      </c>
      <c r="E108" s="28">
        <v>400</v>
      </c>
      <c r="F108" s="28">
        <v>80</v>
      </c>
      <c r="G108" s="29"/>
      <c r="H108" s="23">
        <f t="shared" si="1"/>
        <v>0</v>
      </c>
    </row>
    <row r="109" ht="15.75" customHeight="1" spans="1:8">
      <c r="A109" s="10" t="s">
        <v>137</v>
      </c>
      <c r="B109" s="11">
        <v>95</v>
      </c>
      <c r="C109" s="12" t="s">
        <v>138</v>
      </c>
      <c r="D109" s="30" t="s">
        <v>18</v>
      </c>
      <c r="E109" s="14">
        <v>50</v>
      </c>
      <c r="F109" s="14">
        <v>10</v>
      </c>
      <c r="G109" s="15">
        <v>1</v>
      </c>
      <c r="H109" s="23">
        <f t="shared" si="1"/>
        <v>10</v>
      </c>
    </row>
    <row r="110" ht="15.75" customHeight="1" spans="1:8">
      <c r="A110" s="17"/>
      <c r="B110" s="18">
        <v>96</v>
      </c>
      <c r="C110" s="19" t="s">
        <v>139</v>
      </c>
      <c r="D110" s="63" t="s">
        <v>18</v>
      </c>
      <c r="E110" s="21">
        <v>55</v>
      </c>
      <c r="F110" s="21">
        <v>11</v>
      </c>
      <c r="G110" s="22">
        <v>1</v>
      </c>
      <c r="H110" s="23">
        <f t="shared" si="1"/>
        <v>11</v>
      </c>
    </row>
    <row r="111" ht="15.75" customHeight="1" spans="1:8">
      <c r="A111" s="17"/>
      <c r="B111" s="18">
        <v>97</v>
      </c>
      <c r="C111" s="19" t="s">
        <v>140</v>
      </c>
      <c r="D111" s="63" t="s">
        <v>18</v>
      </c>
      <c r="E111" s="21">
        <v>60</v>
      </c>
      <c r="F111" s="21">
        <v>12</v>
      </c>
      <c r="G111" s="22">
        <v>1</v>
      </c>
      <c r="H111" s="23">
        <f t="shared" si="1"/>
        <v>12</v>
      </c>
    </row>
    <row r="112" ht="15.75" customHeight="1" spans="1:8">
      <c r="A112" s="17"/>
      <c r="B112" s="18">
        <v>98</v>
      </c>
      <c r="C112" s="19" t="s">
        <v>141</v>
      </c>
      <c r="D112" s="63" t="s">
        <v>18</v>
      </c>
      <c r="E112" s="21">
        <v>70</v>
      </c>
      <c r="F112" s="21">
        <v>14</v>
      </c>
      <c r="G112" s="22">
        <v>1</v>
      </c>
      <c r="H112" s="23">
        <f t="shared" si="1"/>
        <v>14</v>
      </c>
    </row>
    <row r="113" ht="15.75" customHeight="1" spans="1:8">
      <c r="A113" s="17"/>
      <c r="B113" s="18">
        <v>99</v>
      </c>
      <c r="C113" s="19" t="s">
        <v>142</v>
      </c>
      <c r="D113" s="31" t="s">
        <v>18</v>
      </c>
      <c r="E113" s="21">
        <v>80</v>
      </c>
      <c r="F113" s="21">
        <v>16</v>
      </c>
      <c r="G113" s="22">
        <v>1</v>
      </c>
      <c r="H113" s="23">
        <f t="shared" si="1"/>
        <v>16</v>
      </c>
    </row>
    <row r="114" ht="15.75" customHeight="1" spans="1:8">
      <c r="A114" s="17"/>
      <c r="B114" s="18">
        <v>100</v>
      </c>
      <c r="C114" s="19" t="s">
        <v>143</v>
      </c>
      <c r="D114" s="31" t="s">
        <v>18</v>
      </c>
      <c r="E114" s="21">
        <v>85</v>
      </c>
      <c r="F114" s="21">
        <v>17</v>
      </c>
      <c r="G114" s="22">
        <v>1</v>
      </c>
      <c r="H114" s="23">
        <f t="shared" si="1"/>
        <v>17</v>
      </c>
    </row>
    <row r="115" ht="15.75" customHeight="1" spans="1:8">
      <c r="A115" s="17"/>
      <c r="B115" s="18">
        <v>101</v>
      </c>
      <c r="C115" s="19" t="s">
        <v>144</v>
      </c>
      <c r="D115" s="31" t="s">
        <v>18</v>
      </c>
      <c r="E115" s="21">
        <v>95</v>
      </c>
      <c r="F115" s="21">
        <v>19</v>
      </c>
      <c r="G115" s="22">
        <v>1</v>
      </c>
      <c r="H115" s="23">
        <f t="shared" si="1"/>
        <v>19</v>
      </c>
    </row>
    <row r="116" ht="15.75" customHeight="1" spans="1:8">
      <c r="A116" s="17"/>
      <c r="B116" s="18">
        <v>102</v>
      </c>
      <c r="C116" s="19" t="s">
        <v>145</v>
      </c>
      <c r="D116" s="31" t="s">
        <v>18</v>
      </c>
      <c r="E116" s="21">
        <v>100</v>
      </c>
      <c r="F116" s="21">
        <v>20</v>
      </c>
      <c r="G116" s="22"/>
      <c r="H116" s="23">
        <f t="shared" si="1"/>
        <v>0</v>
      </c>
    </row>
    <row r="117" ht="15.75" customHeight="1" spans="1:8">
      <c r="A117" s="17"/>
      <c r="B117" s="18">
        <v>103</v>
      </c>
      <c r="C117" s="19" t="s">
        <v>146</v>
      </c>
      <c r="D117" s="31" t="s">
        <v>18</v>
      </c>
      <c r="E117" s="21">
        <v>120</v>
      </c>
      <c r="F117" s="21">
        <v>24</v>
      </c>
      <c r="G117" s="22">
        <v>1</v>
      </c>
      <c r="H117" s="23">
        <f t="shared" si="1"/>
        <v>24</v>
      </c>
    </row>
    <row r="118" ht="15.75" customHeight="1" spans="1:8">
      <c r="A118" s="17"/>
      <c r="B118" s="18">
        <v>104</v>
      </c>
      <c r="C118" s="19" t="s">
        <v>147</v>
      </c>
      <c r="D118" s="31" t="s">
        <v>18</v>
      </c>
      <c r="E118" s="21">
        <v>130</v>
      </c>
      <c r="F118" s="21">
        <v>26</v>
      </c>
      <c r="G118" s="22">
        <v>1</v>
      </c>
      <c r="H118" s="23">
        <f t="shared" si="1"/>
        <v>26</v>
      </c>
    </row>
    <row r="119" ht="15.75" customHeight="1" spans="1:8">
      <c r="A119" s="17"/>
      <c r="B119" s="18">
        <v>105</v>
      </c>
      <c r="C119" s="19" t="s">
        <v>148</v>
      </c>
      <c r="D119" s="31" t="s">
        <v>18</v>
      </c>
      <c r="E119" s="21">
        <v>140</v>
      </c>
      <c r="F119" s="21">
        <v>28</v>
      </c>
      <c r="G119" s="22">
        <v>1</v>
      </c>
      <c r="H119" s="23">
        <f t="shared" si="1"/>
        <v>28</v>
      </c>
    </row>
    <row r="120" ht="15.75" customHeight="1" spans="1:8">
      <c r="A120" s="17"/>
      <c r="B120" s="18">
        <v>106</v>
      </c>
      <c r="C120" s="19" t="s">
        <v>149</v>
      </c>
      <c r="D120" s="31" t="s">
        <v>18</v>
      </c>
      <c r="E120" s="21">
        <v>150</v>
      </c>
      <c r="F120" s="21">
        <v>30</v>
      </c>
      <c r="G120" s="22">
        <v>1</v>
      </c>
      <c r="H120" s="23">
        <f t="shared" si="1"/>
        <v>30</v>
      </c>
    </row>
    <row r="121" ht="15.75" customHeight="1" spans="1:8">
      <c r="A121" s="17"/>
      <c r="B121" s="18">
        <v>107</v>
      </c>
      <c r="C121" s="19" t="s">
        <v>150</v>
      </c>
      <c r="D121" s="31" t="s">
        <v>18</v>
      </c>
      <c r="E121" s="21">
        <v>180</v>
      </c>
      <c r="F121" s="21">
        <v>36</v>
      </c>
      <c r="G121" s="22">
        <v>1</v>
      </c>
      <c r="H121" s="23">
        <f t="shared" si="1"/>
        <v>36</v>
      </c>
    </row>
    <row r="122" ht="15.75" customHeight="1" spans="1:8">
      <c r="A122" s="17"/>
      <c r="B122" s="18">
        <v>108</v>
      </c>
      <c r="C122" s="19" t="s">
        <v>151</v>
      </c>
      <c r="D122" s="31" t="s">
        <v>18</v>
      </c>
      <c r="E122" s="21">
        <v>190</v>
      </c>
      <c r="F122" s="21">
        <v>38</v>
      </c>
      <c r="G122" s="22">
        <v>1</v>
      </c>
      <c r="H122" s="23">
        <f t="shared" si="1"/>
        <v>38</v>
      </c>
    </row>
    <row r="123" ht="15.75" customHeight="1" spans="1:8">
      <c r="A123" s="17"/>
      <c r="B123" s="18">
        <v>109</v>
      </c>
      <c r="C123" s="19" t="s">
        <v>152</v>
      </c>
      <c r="D123" s="31" t="s">
        <v>18</v>
      </c>
      <c r="E123" s="21">
        <v>200</v>
      </c>
      <c r="F123" s="21">
        <v>40</v>
      </c>
      <c r="G123" s="22">
        <v>1</v>
      </c>
      <c r="H123" s="23">
        <f t="shared" si="1"/>
        <v>40</v>
      </c>
    </row>
    <row r="124" ht="15.75" customHeight="1" spans="1:8">
      <c r="A124" s="17"/>
      <c r="B124" s="18">
        <v>110</v>
      </c>
      <c r="C124" s="19" t="s">
        <v>153</v>
      </c>
      <c r="D124" s="31" t="s">
        <v>18</v>
      </c>
      <c r="E124" s="21">
        <v>210</v>
      </c>
      <c r="F124" s="21">
        <v>42</v>
      </c>
      <c r="G124" s="22">
        <v>1</v>
      </c>
      <c r="H124" s="23">
        <f t="shared" si="1"/>
        <v>42</v>
      </c>
    </row>
    <row r="125" ht="15.75" customHeight="1" spans="1:8">
      <c r="A125" s="17"/>
      <c r="B125" s="18">
        <v>111</v>
      </c>
      <c r="C125" s="19" t="s">
        <v>154</v>
      </c>
      <c r="D125" s="31" t="s">
        <v>18</v>
      </c>
      <c r="E125" s="21">
        <v>275</v>
      </c>
      <c r="F125" s="21">
        <v>55</v>
      </c>
      <c r="G125" s="22">
        <v>1</v>
      </c>
      <c r="H125" s="23">
        <f t="shared" si="1"/>
        <v>55</v>
      </c>
    </row>
    <row r="126" ht="15.75" customHeight="1" spans="1:8">
      <c r="A126" s="17"/>
      <c r="B126" s="18">
        <v>112</v>
      </c>
      <c r="C126" s="19" t="s">
        <v>155</v>
      </c>
      <c r="D126" s="31" t="s">
        <v>18</v>
      </c>
      <c r="E126" s="21">
        <v>180</v>
      </c>
      <c r="F126" s="21">
        <v>36</v>
      </c>
      <c r="G126" s="22"/>
      <c r="H126" s="23">
        <f t="shared" si="1"/>
        <v>0</v>
      </c>
    </row>
    <row r="127" ht="15.75" customHeight="1" spans="1:8">
      <c r="A127" s="17"/>
      <c r="B127" s="18">
        <v>113</v>
      </c>
      <c r="C127" s="19" t="s">
        <v>156</v>
      </c>
      <c r="D127" s="31" t="s">
        <v>18</v>
      </c>
      <c r="E127" s="21">
        <v>190</v>
      </c>
      <c r="F127" s="21">
        <v>38</v>
      </c>
      <c r="G127" s="22"/>
      <c r="H127" s="23">
        <f t="shared" si="1"/>
        <v>0</v>
      </c>
    </row>
    <row r="128" ht="15.75" customHeight="1" spans="1:8">
      <c r="A128" s="17"/>
      <c r="B128" s="18">
        <v>114</v>
      </c>
      <c r="C128" s="19" t="s">
        <v>157</v>
      </c>
      <c r="D128" s="31" t="s">
        <v>18</v>
      </c>
      <c r="E128" s="21">
        <v>200</v>
      </c>
      <c r="F128" s="21">
        <v>40</v>
      </c>
      <c r="G128" s="22"/>
      <c r="H128" s="23">
        <f t="shared" si="1"/>
        <v>0</v>
      </c>
    </row>
    <row r="129" ht="15.75" customHeight="1" spans="1:8">
      <c r="A129" s="17"/>
      <c r="B129" s="18">
        <v>115</v>
      </c>
      <c r="C129" s="19" t="s">
        <v>158</v>
      </c>
      <c r="D129" s="31" t="s">
        <v>18</v>
      </c>
      <c r="E129" s="21">
        <v>210</v>
      </c>
      <c r="F129" s="21">
        <v>42</v>
      </c>
      <c r="G129" s="22"/>
      <c r="H129" s="23">
        <f t="shared" si="1"/>
        <v>0</v>
      </c>
    </row>
    <row r="130" ht="15.75" customHeight="1" spans="1:8">
      <c r="A130" s="17"/>
      <c r="B130" s="18">
        <v>116</v>
      </c>
      <c r="C130" s="19" t="s">
        <v>159</v>
      </c>
      <c r="D130" s="31" t="s">
        <v>18</v>
      </c>
      <c r="E130" s="21">
        <v>275</v>
      </c>
      <c r="F130" s="21">
        <v>55</v>
      </c>
      <c r="G130" s="22"/>
      <c r="H130" s="23">
        <f t="shared" si="1"/>
        <v>0</v>
      </c>
    </row>
    <row r="131" ht="15.75" customHeight="1" spans="1:8">
      <c r="A131" s="17"/>
      <c r="B131" s="18">
        <v>117</v>
      </c>
      <c r="C131" s="19" t="s">
        <v>160</v>
      </c>
      <c r="D131" s="31" t="s">
        <v>161</v>
      </c>
      <c r="E131" s="21">
        <v>650</v>
      </c>
      <c r="F131" s="21">
        <v>130</v>
      </c>
      <c r="G131" s="22"/>
      <c r="H131" s="23">
        <f t="shared" si="1"/>
        <v>0</v>
      </c>
    </row>
    <row r="132" ht="15.75" customHeight="1" spans="1:8">
      <c r="A132" s="17"/>
      <c r="B132" s="18">
        <v>118</v>
      </c>
      <c r="C132" s="19" t="s">
        <v>162</v>
      </c>
      <c r="D132" s="31" t="s">
        <v>18</v>
      </c>
      <c r="E132" s="21">
        <v>725</v>
      </c>
      <c r="F132" s="21">
        <v>145</v>
      </c>
      <c r="G132" s="22"/>
      <c r="H132" s="23">
        <f t="shared" ref="H132:H184" si="2">F132*G132</f>
        <v>0</v>
      </c>
    </row>
    <row r="133" ht="15.75" customHeight="1" spans="1:8">
      <c r="A133" s="24"/>
      <c r="B133" s="25">
        <v>119</v>
      </c>
      <c r="C133" s="26" t="s">
        <v>163</v>
      </c>
      <c r="D133" s="36" t="s">
        <v>49</v>
      </c>
      <c r="E133" s="28">
        <v>875</v>
      </c>
      <c r="F133" s="28">
        <v>175</v>
      </c>
      <c r="G133" s="29"/>
      <c r="H133" s="23">
        <f t="shared" si="2"/>
        <v>0</v>
      </c>
    </row>
    <row r="134" ht="15.75" customHeight="1" spans="1:8">
      <c r="A134" s="10" t="s">
        <v>164</v>
      </c>
      <c r="B134" s="11">
        <v>120</v>
      </c>
      <c r="C134" s="12" t="s">
        <v>165</v>
      </c>
      <c r="D134" s="30" t="s">
        <v>18</v>
      </c>
      <c r="E134" s="14">
        <v>500</v>
      </c>
      <c r="F134" s="14">
        <v>100</v>
      </c>
      <c r="G134" s="15"/>
      <c r="H134" s="23">
        <f t="shared" si="2"/>
        <v>0</v>
      </c>
    </row>
    <row r="135" ht="15.75" customHeight="1" spans="1:8">
      <c r="A135" s="17"/>
      <c r="B135" s="18">
        <v>121</v>
      </c>
      <c r="C135" s="19" t="s">
        <v>166</v>
      </c>
      <c r="D135" s="31" t="s">
        <v>18</v>
      </c>
      <c r="E135" s="21">
        <v>675</v>
      </c>
      <c r="F135" s="21">
        <v>135</v>
      </c>
      <c r="G135" s="22"/>
      <c r="H135" s="23">
        <f t="shared" si="2"/>
        <v>0</v>
      </c>
    </row>
    <row r="136" ht="15.75" customHeight="1" spans="1:8">
      <c r="A136" s="17"/>
      <c r="B136" s="18">
        <v>122</v>
      </c>
      <c r="C136" s="19" t="s">
        <v>167</v>
      </c>
      <c r="D136" s="31" t="s">
        <v>49</v>
      </c>
      <c r="E136" s="21">
        <v>180</v>
      </c>
      <c r="F136" s="21">
        <v>36</v>
      </c>
      <c r="G136" s="22"/>
      <c r="H136" s="23">
        <f t="shared" si="2"/>
        <v>0</v>
      </c>
    </row>
    <row r="137" ht="15.75" customHeight="1" spans="1:8">
      <c r="A137" s="17"/>
      <c r="B137" s="18">
        <v>123</v>
      </c>
      <c r="C137" s="19" t="s">
        <v>168</v>
      </c>
      <c r="D137" s="31" t="s">
        <v>49</v>
      </c>
      <c r="E137" s="21">
        <v>450</v>
      </c>
      <c r="F137" s="21">
        <v>90</v>
      </c>
      <c r="G137" s="22"/>
      <c r="H137" s="23">
        <f t="shared" si="2"/>
        <v>0</v>
      </c>
    </row>
    <row r="138" ht="15.75" customHeight="1" spans="1:8">
      <c r="A138" s="24"/>
      <c r="B138" s="25">
        <v>124</v>
      </c>
      <c r="C138" s="26" t="s">
        <v>169</v>
      </c>
      <c r="D138" s="36" t="s">
        <v>57</v>
      </c>
      <c r="E138" s="28">
        <v>1125</v>
      </c>
      <c r="F138" s="28">
        <v>225</v>
      </c>
      <c r="G138" s="29"/>
      <c r="H138" s="23">
        <f t="shared" si="2"/>
        <v>0</v>
      </c>
    </row>
    <row r="139" ht="15.75" customHeight="1" spans="1:8">
      <c r="A139" s="10" t="s">
        <v>170</v>
      </c>
      <c r="B139" s="11">
        <v>125</v>
      </c>
      <c r="C139" s="12" t="s">
        <v>171</v>
      </c>
      <c r="D139" s="30" t="s">
        <v>49</v>
      </c>
      <c r="E139" s="14">
        <v>1075</v>
      </c>
      <c r="F139" s="14">
        <v>215</v>
      </c>
      <c r="G139" s="15"/>
      <c r="H139" s="23">
        <f t="shared" si="2"/>
        <v>0</v>
      </c>
    </row>
    <row r="140" ht="15.75" customHeight="1" spans="1:8">
      <c r="A140" s="17"/>
      <c r="B140" s="18">
        <v>126</v>
      </c>
      <c r="C140" s="19" t="s">
        <v>172</v>
      </c>
      <c r="D140" s="31" t="s">
        <v>49</v>
      </c>
      <c r="E140" s="21">
        <v>1000</v>
      </c>
      <c r="F140" s="21">
        <v>200</v>
      </c>
      <c r="G140" s="22"/>
      <c r="H140" s="23">
        <f t="shared" si="2"/>
        <v>0</v>
      </c>
    </row>
    <row r="141" ht="15.75" customHeight="1" spans="1:8">
      <c r="A141" s="17"/>
      <c r="B141" s="18">
        <v>127</v>
      </c>
      <c r="C141" s="19" t="s">
        <v>173</v>
      </c>
      <c r="D141" s="31" t="s">
        <v>57</v>
      </c>
      <c r="E141" s="21">
        <v>1875</v>
      </c>
      <c r="F141" s="21">
        <v>375</v>
      </c>
      <c r="G141" s="22"/>
      <c r="H141" s="23">
        <f t="shared" si="2"/>
        <v>0</v>
      </c>
    </row>
    <row r="142" ht="15.75" customHeight="1" spans="1:8">
      <c r="A142" s="17"/>
      <c r="B142" s="18">
        <v>128</v>
      </c>
      <c r="C142" s="19" t="s">
        <v>174</v>
      </c>
      <c r="D142" s="31" t="s">
        <v>57</v>
      </c>
      <c r="E142" s="21">
        <v>2075</v>
      </c>
      <c r="F142" s="21">
        <v>415</v>
      </c>
      <c r="G142" s="22"/>
      <c r="H142" s="23">
        <f t="shared" si="2"/>
        <v>0</v>
      </c>
    </row>
    <row r="143" ht="15.75" customHeight="1" spans="1:8">
      <c r="A143" s="17"/>
      <c r="B143" s="18">
        <v>129</v>
      </c>
      <c r="C143" s="19" t="s">
        <v>175</v>
      </c>
      <c r="D143" s="31" t="s">
        <v>49</v>
      </c>
      <c r="E143" s="21">
        <v>950</v>
      </c>
      <c r="F143" s="21">
        <v>190</v>
      </c>
      <c r="G143" s="22"/>
      <c r="H143" s="23">
        <f t="shared" si="2"/>
        <v>0</v>
      </c>
    </row>
    <row r="144" ht="15.75" customHeight="1" spans="1:8">
      <c r="A144" s="17"/>
      <c r="B144" s="18">
        <v>130</v>
      </c>
      <c r="C144" s="19" t="s">
        <v>176</v>
      </c>
      <c r="D144" s="31" t="s">
        <v>49</v>
      </c>
      <c r="E144" s="21">
        <v>1100</v>
      </c>
      <c r="F144" s="21">
        <v>220</v>
      </c>
      <c r="G144" s="22"/>
      <c r="H144" s="23">
        <f t="shared" si="2"/>
        <v>0</v>
      </c>
    </row>
    <row r="145" ht="15.75" customHeight="1" spans="1:8">
      <c r="A145" s="17"/>
      <c r="B145" s="18">
        <v>131</v>
      </c>
      <c r="C145" s="19" t="s">
        <v>177</v>
      </c>
      <c r="D145" s="64" t="s">
        <v>57</v>
      </c>
      <c r="E145" s="65">
        <v>4000</v>
      </c>
      <c r="F145" s="21">
        <v>800</v>
      </c>
      <c r="G145" s="22"/>
      <c r="H145" s="23">
        <f t="shared" si="2"/>
        <v>0</v>
      </c>
    </row>
    <row r="146" ht="15.75" customHeight="1" spans="1:8">
      <c r="A146" s="17"/>
      <c r="B146" s="18">
        <v>132</v>
      </c>
      <c r="C146" s="19" t="s">
        <v>178</v>
      </c>
      <c r="D146" s="31" t="s">
        <v>49</v>
      </c>
      <c r="E146" s="21">
        <v>1500</v>
      </c>
      <c r="F146" s="21">
        <v>300</v>
      </c>
      <c r="G146" s="22"/>
      <c r="H146" s="23">
        <f t="shared" si="2"/>
        <v>0</v>
      </c>
    </row>
    <row r="147" ht="15.75" customHeight="1" spans="1:8">
      <c r="A147" s="17"/>
      <c r="B147" s="18">
        <v>133</v>
      </c>
      <c r="C147" s="19" t="s">
        <v>179</v>
      </c>
      <c r="D147" s="31" t="s">
        <v>49</v>
      </c>
      <c r="E147" s="21">
        <v>1350</v>
      </c>
      <c r="F147" s="21">
        <v>270</v>
      </c>
      <c r="G147" s="22"/>
      <c r="H147" s="23">
        <f t="shared" si="2"/>
        <v>0</v>
      </c>
    </row>
    <row r="148" ht="15.75" customHeight="1" spans="1:8">
      <c r="A148" s="17"/>
      <c r="B148" s="18">
        <v>134</v>
      </c>
      <c r="C148" s="19" t="s">
        <v>180</v>
      </c>
      <c r="D148" s="31" t="s">
        <v>49</v>
      </c>
      <c r="E148" s="21">
        <v>1350</v>
      </c>
      <c r="F148" s="21">
        <v>270</v>
      </c>
      <c r="G148" s="22"/>
      <c r="H148" s="23">
        <f t="shared" si="2"/>
        <v>0</v>
      </c>
    </row>
    <row r="149" ht="15.75" customHeight="1" spans="1:8">
      <c r="A149" s="17"/>
      <c r="B149" s="18">
        <v>135</v>
      </c>
      <c r="C149" s="19" t="s">
        <v>181</v>
      </c>
      <c r="D149" s="31" t="s">
        <v>49</v>
      </c>
      <c r="E149" s="21">
        <v>1600</v>
      </c>
      <c r="F149" s="21">
        <v>320</v>
      </c>
      <c r="G149" s="22"/>
      <c r="H149" s="23">
        <f t="shared" si="2"/>
        <v>0</v>
      </c>
    </row>
    <row r="150" ht="15.75" customHeight="1" spans="1:8">
      <c r="A150" s="17"/>
      <c r="B150" s="18">
        <v>136</v>
      </c>
      <c r="C150" s="19" t="s">
        <v>182</v>
      </c>
      <c r="D150" s="31" t="s">
        <v>49</v>
      </c>
      <c r="E150" s="21">
        <v>1600</v>
      </c>
      <c r="F150" s="21">
        <v>320</v>
      </c>
      <c r="G150" s="22"/>
      <c r="H150" s="23">
        <f t="shared" si="2"/>
        <v>0</v>
      </c>
    </row>
    <row r="151" ht="15.75" customHeight="1" spans="1:8">
      <c r="A151" s="17"/>
      <c r="B151" s="18">
        <v>137</v>
      </c>
      <c r="C151" s="19" t="s">
        <v>183</v>
      </c>
      <c r="D151" s="31" t="s">
        <v>49</v>
      </c>
      <c r="E151" s="21">
        <v>1900</v>
      </c>
      <c r="F151" s="21">
        <v>380</v>
      </c>
      <c r="G151" s="22"/>
      <c r="H151" s="23">
        <f t="shared" si="2"/>
        <v>0</v>
      </c>
    </row>
    <row r="152" ht="15.75" customHeight="1" spans="1:8">
      <c r="A152" s="17"/>
      <c r="B152" s="18">
        <v>138</v>
      </c>
      <c r="C152" s="19" t="s">
        <v>184</v>
      </c>
      <c r="D152" s="31" t="s">
        <v>49</v>
      </c>
      <c r="E152" s="21">
        <v>2125</v>
      </c>
      <c r="F152" s="21">
        <v>425</v>
      </c>
      <c r="G152" s="22"/>
      <c r="H152" s="23">
        <f t="shared" si="2"/>
        <v>0</v>
      </c>
    </row>
    <row r="153" ht="15.75" customHeight="1" spans="1:8">
      <c r="A153" s="17"/>
      <c r="B153" s="18">
        <v>139</v>
      </c>
      <c r="C153" s="19" t="s">
        <v>185</v>
      </c>
      <c r="D153" s="31" t="s">
        <v>49</v>
      </c>
      <c r="E153" s="21">
        <v>1925</v>
      </c>
      <c r="F153" s="21">
        <v>385</v>
      </c>
      <c r="G153" s="22"/>
      <c r="H153" s="23">
        <f t="shared" si="2"/>
        <v>0</v>
      </c>
    </row>
    <row r="154" ht="15.75" customHeight="1" spans="1:8">
      <c r="A154" s="24"/>
      <c r="B154" s="25">
        <v>140</v>
      </c>
      <c r="C154" s="26" t="s">
        <v>186</v>
      </c>
      <c r="D154" s="36" t="s">
        <v>49</v>
      </c>
      <c r="E154" s="28">
        <v>3000</v>
      </c>
      <c r="F154" s="28">
        <v>600</v>
      </c>
      <c r="G154" s="29"/>
      <c r="H154" s="23">
        <f t="shared" si="2"/>
        <v>0</v>
      </c>
    </row>
    <row r="155" ht="15.75" customHeight="1" spans="1:8">
      <c r="A155" s="10" t="s">
        <v>187</v>
      </c>
      <c r="B155" s="11">
        <v>141</v>
      </c>
      <c r="C155" s="12" t="s">
        <v>188</v>
      </c>
      <c r="D155" s="30" t="s">
        <v>49</v>
      </c>
      <c r="E155" s="66">
        <v>725</v>
      </c>
      <c r="F155" s="14">
        <v>145</v>
      </c>
      <c r="G155" s="15"/>
      <c r="H155" s="23">
        <f t="shared" si="2"/>
        <v>0</v>
      </c>
    </row>
    <row r="156" ht="15.75" customHeight="1" spans="1:8">
      <c r="A156" s="17"/>
      <c r="B156" s="18">
        <v>142</v>
      </c>
      <c r="C156" s="19" t="s">
        <v>189</v>
      </c>
      <c r="D156" s="31" t="s">
        <v>49</v>
      </c>
      <c r="E156" s="67">
        <v>1100</v>
      </c>
      <c r="F156" s="21">
        <v>220</v>
      </c>
      <c r="G156" s="22"/>
      <c r="H156" s="23">
        <f t="shared" si="2"/>
        <v>0</v>
      </c>
    </row>
    <row r="157" ht="15.75" customHeight="1" spans="1:8">
      <c r="A157" s="17"/>
      <c r="B157" s="18">
        <v>143</v>
      </c>
      <c r="C157" s="19" t="s">
        <v>190</v>
      </c>
      <c r="D157" s="31" t="s">
        <v>49</v>
      </c>
      <c r="E157" s="67">
        <v>575</v>
      </c>
      <c r="F157" s="21">
        <v>115</v>
      </c>
      <c r="G157" s="22"/>
      <c r="H157" s="23">
        <f t="shared" si="2"/>
        <v>0</v>
      </c>
    </row>
    <row r="158" ht="15.75" customHeight="1" spans="1:8">
      <c r="A158" s="17"/>
      <c r="B158" s="18">
        <v>144</v>
      </c>
      <c r="C158" s="19" t="s">
        <v>191</v>
      </c>
      <c r="D158" s="31" t="s">
        <v>49</v>
      </c>
      <c r="E158" s="67">
        <v>1000</v>
      </c>
      <c r="F158" s="21">
        <v>200</v>
      </c>
      <c r="G158" s="22"/>
      <c r="H158" s="23">
        <f t="shared" si="2"/>
        <v>0</v>
      </c>
    </row>
    <row r="159" ht="15.75" customHeight="1" spans="1:8">
      <c r="A159" s="17"/>
      <c r="B159" s="18">
        <v>145</v>
      </c>
      <c r="C159" s="19" t="s">
        <v>192</v>
      </c>
      <c r="D159" s="31" t="s">
        <v>49</v>
      </c>
      <c r="E159" s="67">
        <v>1175</v>
      </c>
      <c r="F159" s="21">
        <v>235</v>
      </c>
      <c r="G159" s="22"/>
      <c r="H159" s="23">
        <f t="shared" si="2"/>
        <v>0</v>
      </c>
    </row>
    <row r="160" ht="15.75" customHeight="1" spans="1:8">
      <c r="A160" s="17"/>
      <c r="B160" s="18">
        <v>146</v>
      </c>
      <c r="C160" s="19" t="s">
        <v>193</v>
      </c>
      <c r="D160" s="31" t="s">
        <v>49</v>
      </c>
      <c r="E160" s="67">
        <v>1050</v>
      </c>
      <c r="F160" s="21">
        <v>210</v>
      </c>
      <c r="G160" s="22"/>
      <c r="H160" s="23">
        <f t="shared" si="2"/>
        <v>0</v>
      </c>
    </row>
    <row r="161" ht="15.75" customHeight="1" spans="1:8">
      <c r="A161" s="17"/>
      <c r="B161" s="18">
        <v>147</v>
      </c>
      <c r="C161" s="19" t="s">
        <v>194</v>
      </c>
      <c r="D161" s="31" t="s">
        <v>49</v>
      </c>
      <c r="E161" s="67">
        <v>1750</v>
      </c>
      <c r="F161" s="21">
        <v>350</v>
      </c>
      <c r="G161" s="22"/>
      <c r="H161" s="23">
        <f t="shared" si="2"/>
        <v>0</v>
      </c>
    </row>
    <row r="162" ht="15.75" customHeight="1" spans="1:8">
      <c r="A162" s="17"/>
      <c r="B162" s="18">
        <v>148</v>
      </c>
      <c r="C162" s="19" t="s">
        <v>195</v>
      </c>
      <c r="D162" s="31" t="s">
        <v>49</v>
      </c>
      <c r="E162" s="67">
        <v>3750</v>
      </c>
      <c r="F162" s="21">
        <v>750</v>
      </c>
      <c r="G162" s="22"/>
      <c r="H162" s="23">
        <f t="shared" si="2"/>
        <v>0</v>
      </c>
    </row>
    <row r="163" ht="15.75" customHeight="1" spans="1:8">
      <c r="A163" s="17"/>
      <c r="B163" s="18">
        <v>149</v>
      </c>
      <c r="C163" s="19" t="s">
        <v>196</v>
      </c>
      <c r="D163" s="31" t="s">
        <v>49</v>
      </c>
      <c r="E163" s="67">
        <v>8000</v>
      </c>
      <c r="F163" s="21">
        <v>1600</v>
      </c>
      <c r="G163" s="22"/>
      <c r="H163" s="23">
        <f t="shared" si="2"/>
        <v>0</v>
      </c>
    </row>
    <row r="164" ht="15.75" customHeight="1" spans="1:8">
      <c r="A164" s="17"/>
      <c r="B164" s="18">
        <v>150</v>
      </c>
      <c r="C164" s="19" t="s">
        <v>197</v>
      </c>
      <c r="D164" s="31" t="s">
        <v>49</v>
      </c>
      <c r="E164" s="67">
        <v>16000</v>
      </c>
      <c r="F164" s="21">
        <v>3200</v>
      </c>
      <c r="G164" s="22"/>
      <c r="H164" s="23">
        <f t="shared" si="2"/>
        <v>0</v>
      </c>
    </row>
    <row r="165" ht="15.75" customHeight="1" spans="1:8">
      <c r="A165" s="17"/>
      <c r="B165" s="18">
        <v>151</v>
      </c>
      <c r="C165" s="19" t="s">
        <v>198</v>
      </c>
      <c r="D165" s="31" t="s">
        <v>49</v>
      </c>
      <c r="E165" s="67">
        <v>4500</v>
      </c>
      <c r="F165" s="21">
        <v>900</v>
      </c>
      <c r="G165" s="22"/>
      <c r="H165" s="23">
        <f t="shared" si="2"/>
        <v>0</v>
      </c>
    </row>
    <row r="166" ht="15.75" customHeight="1" spans="1:8">
      <c r="A166" s="24"/>
      <c r="B166" s="25">
        <v>152</v>
      </c>
      <c r="C166" s="26" t="s">
        <v>199</v>
      </c>
      <c r="D166" s="36" t="s">
        <v>49</v>
      </c>
      <c r="E166" s="68">
        <v>14500</v>
      </c>
      <c r="F166" s="28">
        <v>2900</v>
      </c>
      <c r="G166" s="29"/>
      <c r="H166" s="23">
        <f t="shared" si="2"/>
        <v>0</v>
      </c>
    </row>
    <row r="167" ht="15.75" customHeight="1" spans="1:8">
      <c r="A167" s="10" t="s">
        <v>200</v>
      </c>
      <c r="B167" s="11">
        <v>153</v>
      </c>
      <c r="C167" s="12" t="s">
        <v>201</v>
      </c>
      <c r="D167" s="30" t="s">
        <v>202</v>
      </c>
      <c r="E167" s="66">
        <v>175</v>
      </c>
      <c r="F167" s="14">
        <v>35</v>
      </c>
      <c r="G167" s="15">
        <v>1</v>
      </c>
      <c r="H167" s="23">
        <f t="shared" si="2"/>
        <v>35</v>
      </c>
    </row>
    <row r="168" ht="15.75" customHeight="1" spans="1:8">
      <c r="A168" s="17"/>
      <c r="B168" s="18">
        <v>154</v>
      </c>
      <c r="C168" s="19" t="s">
        <v>203</v>
      </c>
      <c r="D168" s="31" t="s">
        <v>204</v>
      </c>
      <c r="E168" s="67">
        <v>275</v>
      </c>
      <c r="F168" s="21">
        <v>55</v>
      </c>
      <c r="G168" s="22"/>
      <c r="H168" s="23">
        <f t="shared" si="2"/>
        <v>0</v>
      </c>
    </row>
    <row r="169" ht="15.75" customHeight="1" spans="1:8">
      <c r="A169" s="17"/>
      <c r="B169" s="18">
        <v>155</v>
      </c>
      <c r="C169" s="19" t="s">
        <v>205</v>
      </c>
      <c r="D169" s="31" t="s">
        <v>204</v>
      </c>
      <c r="E169" s="67">
        <v>775</v>
      </c>
      <c r="F169" s="21">
        <v>155</v>
      </c>
      <c r="G169" s="22"/>
      <c r="H169" s="23">
        <f t="shared" si="2"/>
        <v>0</v>
      </c>
    </row>
    <row r="170" ht="15.75" customHeight="1" spans="1:8">
      <c r="A170" s="24"/>
      <c r="B170" s="25">
        <v>156</v>
      </c>
      <c r="C170" s="26" t="s">
        <v>206</v>
      </c>
      <c r="D170" s="36" t="s">
        <v>204</v>
      </c>
      <c r="E170" s="68">
        <v>1100</v>
      </c>
      <c r="F170" s="28">
        <v>220</v>
      </c>
      <c r="G170" s="29"/>
      <c r="H170" s="23">
        <f t="shared" si="2"/>
        <v>0</v>
      </c>
    </row>
    <row r="171" ht="15.75" customHeight="1" spans="1:8">
      <c r="A171" s="39" t="s">
        <v>207</v>
      </c>
      <c r="B171" s="69">
        <v>157</v>
      </c>
      <c r="C171" s="70" t="s">
        <v>208</v>
      </c>
      <c r="D171" s="71" t="s">
        <v>18</v>
      </c>
      <c r="E171" s="72">
        <v>0</v>
      </c>
      <c r="F171" s="73">
        <v>280</v>
      </c>
      <c r="G171" s="15"/>
      <c r="H171" s="23">
        <f t="shared" si="2"/>
        <v>0</v>
      </c>
    </row>
    <row r="172" ht="15.75" customHeight="1" spans="1:8">
      <c r="A172" s="42"/>
      <c r="B172" s="74">
        <v>158</v>
      </c>
      <c r="C172" s="75" t="s">
        <v>209</v>
      </c>
      <c r="D172" s="76" t="s">
        <v>18</v>
      </c>
      <c r="E172" s="77">
        <v>0</v>
      </c>
      <c r="F172" s="78">
        <v>370</v>
      </c>
      <c r="G172" s="22"/>
      <c r="H172" s="23">
        <f t="shared" si="2"/>
        <v>0</v>
      </c>
    </row>
    <row r="173" ht="15.75" customHeight="1" spans="1:8">
      <c r="A173" s="42"/>
      <c r="B173" s="79">
        <v>159</v>
      </c>
      <c r="C173" s="75" t="s">
        <v>210</v>
      </c>
      <c r="D173" s="80" t="s">
        <v>18</v>
      </c>
      <c r="E173" s="77">
        <v>0</v>
      </c>
      <c r="F173" s="78">
        <v>420</v>
      </c>
      <c r="G173" s="22"/>
      <c r="H173" s="23">
        <f t="shared" si="2"/>
        <v>0</v>
      </c>
    </row>
    <row r="174" ht="15.75" customHeight="1" spans="1:8">
      <c r="A174" s="42"/>
      <c r="B174" s="74">
        <v>160</v>
      </c>
      <c r="C174" s="75" t="s">
        <v>211</v>
      </c>
      <c r="D174" s="80" t="s">
        <v>18</v>
      </c>
      <c r="E174" s="77">
        <v>0</v>
      </c>
      <c r="F174" s="78">
        <v>470</v>
      </c>
      <c r="G174" s="22"/>
      <c r="H174" s="23">
        <f t="shared" si="2"/>
        <v>0</v>
      </c>
    </row>
    <row r="175" ht="15.75" customHeight="1" spans="1:8">
      <c r="A175" s="42"/>
      <c r="B175" s="79">
        <v>161</v>
      </c>
      <c r="C175" s="75" t="s">
        <v>212</v>
      </c>
      <c r="D175" s="76" t="s">
        <v>18</v>
      </c>
      <c r="E175" s="77">
        <v>0</v>
      </c>
      <c r="F175" s="78">
        <v>600</v>
      </c>
      <c r="G175" s="22"/>
      <c r="H175" s="23">
        <f t="shared" si="2"/>
        <v>0</v>
      </c>
    </row>
    <row r="176" ht="15.75" customHeight="1" spans="1:8">
      <c r="A176" s="42"/>
      <c r="B176" s="74">
        <v>162</v>
      </c>
      <c r="C176" s="75" t="s">
        <v>213</v>
      </c>
      <c r="D176" s="80" t="s">
        <v>18</v>
      </c>
      <c r="E176" s="77">
        <v>0</v>
      </c>
      <c r="F176" s="78">
        <v>700</v>
      </c>
      <c r="G176" s="22"/>
      <c r="H176" s="23">
        <f t="shared" si="2"/>
        <v>0</v>
      </c>
    </row>
    <row r="177" ht="15.75" customHeight="1" spans="1:8">
      <c r="A177" s="42"/>
      <c r="B177" s="79">
        <v>163</v>
      </c>
      <c r="C177" s="75" t="s">
        <v>214</v>
      </c>
      <c r="D177" s="80" t="s">
        <v>18</v>
      </c>
      <c r="E177" s="77">
        <v>0</v>
      </c>
      <c r="F177" s="78">
        <v>800</v>
      </c>
      <c r="G177" s="22"/>
      <c r="H177" s="23">
        <f t="shared" si="2"/>
        <v>0</v>
      </c>
    </row>
    <row r="178" ht="15.75" customHeight="1" spans="1:8">
      <c r="A178" s="42"/>
      <c r="B178" s="74">
        <v>164</v>
      </c>
      <c r="C178" s="75" t="s">
        <v>215</v>
      </c>
      <c r="D178" s="76" t="s">
        <v>18</v>
      </c>
      <c r="E178" s="77">
        <v>0</v>
      </c>
      <c r="F178" s="78">
        <v>1200</v>
      </c>
      <c r="G178" s="22"/>
      <c r="H178" s="23">
        <f t="shared" si="2"/>
        <v>0</v>
      </c>
    </row>
    <row r="179" ht="15.75" customHeight="1" spans="1:8">
      <c r="A179" s="42"/>
      <c r="B179" s="79">
        <v>165</v>
      </c>
      <c r="C179" s="75" t="s">
        <v>216</v>
      </c>
      <c r="D179" s="76" t="s">
        <v>217</v>
      </c>
      <c r="E179" s="77">
        <v>0</v>
      </c>
      <c r="F179" s="78">
        <v>40</v>
      </c>
      <c r="G179" s="22"/>
      <c r="H179" s="23">
        <f t="shared" si="2"/>
        <v>0</v>
      </c>
    </row>
    <row r="180" ht="15.75" customHeight="1" spans="1:8">
      <c r="A180" s="45"/>
      <c r="B180" s="81">
        <v>166</v>
      </c>
      <c r="C180" s="82" t="s">
        <v>218</v>
      </c>
      <c r="D180" s="83" t="s">
        <v>217</v>
      </c>
      <c r="E180" s="84">
        <v>0</v>
      </c>
      <c r="F180" s="85">
        <v>80</v>
      </c>
      <c r="G180" s="29"/>
      <c r="H180" s="23">
        <f t="shared" si="2"/>
        <v>0</v>
      </c>
    </row>
    <row r="181" ht="15.75" customHeight="1" spans="1:8">
      <c r="A181" s="86" t="s">
        <v>219</v>
      </c>
      <c r="B181" s="69">
        <v>167</v>
      </c>
      <c r="C181" s="87" t="s">
        <v>220</v>
      </c>
      <c r="D181" s="88" t="s">
        <v>217</v>
      </c>
      <c r="E181" s="72">
        <v>0</v>
      </c>
      <c r="F181" s="89">
        <v>160</v>
      </c>
      <c r="G181" s="15"/>
      <c r="H181" s="23">
        <f t="shared" si="2"/>
        <v>0</v>
      </c>
    </row>
    <row r="182" ht="15.75" customHeight="1" spans="1:8">
      <c r="A182" s="90"/>
      <c r="B182" s="74">
        <v>168</v>
      </c>
      <c r="C182" s="91" t="s">
        <v>221</v>
      </c>
      <c r="D182" s="76" t="s">
        <v>217</v>
      </c>
      <c r="E182" s="77">
        <v>0</v>
      </c>
      <c r="F182" s="92">
        <v>320</v>
      </c>
      <c r="G182" s="22"/>
      <c r="H182" s="23">
        <f t="shared" si="2"/>
        <v>0</v>
      </c>
    </row>
    <row r="183" ht="15.75" customHeight="1" spans="1:8">
      <c r="A183" s="90"/>
      <c r="B183" s="79">
        <v>169</v>
      </c>
      <c r="C183" s="91" t="s">
        <v>222</v>
      </c>
      <c r="D183" s="76" t="s">
        <v>217</v>
      </c>
      <c r="E183" s="77">
        <v>0</v>
      </c>
      <c r="F183" s="92">
        <v>800</v>
      </c>
      <c r="G183" s="22"/>
      <c r="H183" s="23">
        <f t="shared" si="2"/>
        <v>0</v>
      </c>
    </row>
    <row r="184" ht="15.75" customHeight="1" spans="1:8">
      <c r="A184" s="90"/>
      <c r="B184" s="93">
        <v>170</v>
      </c>
      <c r="C184" s="94" t="s">
        <v>223</v>
      </c>
      <c r="D184" s="95" t="s">
        <v>217</v>
      </c>
      <c r="E184" s="96">
        <v>0</v>
      </c>
      <c r="F184" s="97">
        <v>1600</v>
      </c>
      <c r="G184" s="29"/>
      <c r="H184" s="98">
        <f t="shared" si="2"/>
        <v>0</v>
      </c>
    </row>
    <row r="185" ht="44.25" customHeight="1" spans="1:8">
      <c r="A185" s="99"/>
      <c r="B185" s="99"/>
      <c r="C185" s="99"/>
      <c r="D185" s="99"/>
      <c r="E185" s="99"/>
      <c r="F185" s="100"/>
      <c r="G185" s="101">
        <f>SUM(G3:G184)</f>
        <v>40</v>
      </c>
      <c r="H185" s="102">
        <f>SUM(H3:H184)</f>
        <v>2312</v>
      </c>
    </row>
    <row r="186" ht="28.35" spans="1:8">
      <c r="A186" s="99"/>
      <c r="B186" s="99"/>
      <c r="C186" s="99"/>
      <c r="D186" s="99"/>
      <c r="E186" s="99"/>
      <c r="F186" s="99"/>
      <c r="G186" s="103" t="s">
        <v>224</v>
      </c>
      <c r="H186" s="104" t="s">
        <v>225</v>
      </c>
    </row>
    <row r="187" ht="96.75" customHeight="1" spans="1:8">
      <c r="A187" s="105" t="s">
        <v>226</v>
      </c>
      <c r="B187" s="106"/>
      <c r="C187" s="106"/>
      <c r="D187" s="106"/>
      <c r="E187" s="106"/>
      <c r="F187" s="106"/>
      <c r="G187" s="106"/>
      <c r="H187" s="107"/>
    </row>
    <row r="188" s="2" customFormat="1" ht="21" customHeight="1" spans="1:8">
      <c r="A188" s="108" t="s">
        <v>227</v>
      </c>
      <c r="B188" s="109"/>
      <c r="C188" s="109"/>
      <c r="D188" s="109"/>
      <c r="E188" s="109"/>
      <c r="F188" s="109"/>
      <c r="G188" s="109"/>
      <c r="H188" s="110"/>
    </row>
    <row r="189" s="2" customFormat="1" ht="21" customHeight="1" spans="1:8">
      <c r="A189" s="108" t="s">
        <v>228</v>
      </c>
      <c r="B189" s="109"/>
      <c r="C189" s="109"/>
      <c r="D189" s="109"/>
      <c r="E189" s="109"/>
      <c r="F189" s="109"/>
      <c r="G189" s="109"/>
      <c r="H189" s="110"/>
    </row>
    <row r="190" s="2" customFormat="1" ht="21" customHeight="1" spans="1:8">
      <c r="A190" s="108" t="s">
        <v>229</v>
      </c>
      <c r="B190" s="109"/>
      <c r="C190" s="109"/>
      <c r="D190" s="109"/>
      <c r="E190" s="109"/>
      <c r="F190" s="109"/>
      <c r="G190" s="109"/>
      <c r="H190" s="110"/>
    </row>
    <row r="191" s="2" customFormat="1" ht="21" customHeight="1" spans="1:8">
      <c r="A191" s="108" t="s">
        <v>230</v>
      </c>
      <c r="B191" s="109"/>
      <c r="C191" s="109"/>
      <c r="D191" s="109"/>
      <c r="E191" s="109"/>
      <c r="F191" s="109"/>
      <c r="G191" s="109"/>
      <c r="H191" s="110"/>
    </row>
    <row r="192" s="2" customFormat="1" ht="81.2" customHeight="1" spans="1:8">
      <c r="A192" s="111" t="s">
        <v>231</v>
      </c>
      <c r="B192" s="112"/>
      <c r="C192" s="112"/>
      <c r="D192" s="112"/>
      <c r="E192" s="112"/>
      <c r="F192" s="112"/>
      <c r="G192" s="112"/>
      <c r="H192" s="113"/>
    </row>
  </sheetData>
  <autoFilter xmlns:etc="http://www.wps.cn/officeDocument/2017/etCustomData" ref="A2:H192" etc:filterBottomFollowUsedRange="0">
    <extLst/>
  </autoFilter>
  <mergeCells count="32">
    <mergeCell ref="A1:H1"/>
    <mergeCell ref="A187:H187"/>
    <mergeCell ref="B188:H188"/>
    <mergeCell ref="B189:H189"/>
    <mergeCell ref="B190:H190"/>
    <mergeCell ref="B191:H191"/>
    <mergeCell ref="B192:H192"/>
    <mergeCell ref="A3:A8"/>
    <mergeCell ref="A9:A18"/>
    <mergeCell ref="A19:A26"/>
    <mergeCell ref="A27:A28"/>
    <mergeCell ref="A29:A34"/>
    <mergeCell ref="A35:A40"/>
    <mergeCell ref="A41:A43"/>
    <mergeCell ref="A44:A48"/>
    <mergeCell ref="A49:A50"/>
    <mergeCell ref="A51:A53"/>
    <mergeCell ref="A54:A56"/>
    <mergeCell ref="A57:A59"/>
    <mergeCell ref="A60:A63"/>
    <mergeCell ref="A64:A69"/>
    <mergeCell ref="A70:A74"/>
    <mergeCell ref="A75:A86"/>
    <mergeCell ref="A87:A93"/>
    <mergeCell ref="A94:A108"/>
    <mergeCell ref="A109:A133"/>
    <mergeCell ref="A134:A138"/>
    <mergeCell ref="A139:A154"/>
    <mergeCell ref="A155:A166"/>
    <mergeCell ref="A167:A170"/>
    <mergeCell ref="A171:A180"/>
    <mergeCell ref="A181:A184"/>
  </mergeCells>
  <conditionalFormatting sqref="D3:D184">
    <cfRule type="notContainsBlanks" dxfId="0" priority="1">
      <formula>LEN(TRIM(D3))&gt;0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dhamo</cp:lastModifiedBy>
  <dcterms:created xsi:type="dcterms:W3CDTF">2025-08-24T09:19:00Z</dcterms:created>
  <dcterms:modified xsi:type="dcterms:W3CDTF">2025-09-08T08:08:35Z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E4A69C02DA664299B51C83964A0E82CF_13</vt:lpwstr>
  </property>
  <property fmtid="{D5CDD505-2E9C-101B-9397-08002B2CF9AE}" pid="3" name="KSOProductBuildVer">
    <vt:lpwstr>2057-12.2.0.21936</vt:lpwstr>
  </property>
</Properties>
</file>